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caio.amorim\Downloads\Projeto-MID\data\"/>
    </mc:Choice>
  </mc:AlternateContent>
  <bookViews>
    <workbookView xWindow="0" yWindow="0" windowWidth="28800" windowHeight="9480"/>
  </bookViews>
  <sheets>
    <sheet name="Report" sheetId="1" r:id="rId1"/>
    <sheet name="Visão" sheetId="3" r:id="rId2"/>
  </sheets>
  <definedNames>
    <definedName name="_xlnm._FilterDatabase" localSheetId="0" hidden="1">Report!$A$1:$K$637</definedName>
  </definedNames>
  <calcPr calcId="162913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2" i="1"/>
  <c r="A278" i="1" l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2" i="1"/>
</calcChain>
</file>

<file path=xl/sharedStrings.xml><?xml version="1.0" encoding="utf-8"?>
<sst xmlns="http://schemas.openxmlformats.org/spreadsheetml/2006/main" count="3781" uniqueCount="199">
  <si>
    <t>Tipo</t>
  </si>
  <si>
    <t>ID</t>
  </si>
  <si>
    <t>Indicador</t>
  </si>
  <si>
    <t>Marcos</t>
  </si>
  <si>
    <t>Responsável</t>
  </si>
  <si>
    <t>Status</t>
  </si>
  <si>
    <t>Mês</t>
  </si>
  <si>
    <t>Meta</t>
  </si>
  <si>
    <t>Realizado</t>
  </si>
  <si>
    <t>Acumulado</t>
  </si>
  <si>
    <t>Projeto</t>
  </si>
  <si>
    <t>Suporte</t>
  </si>
  <si>
    <t>Satisfação</t>
  </si>
  <si>
    <t>CorporativoIntegração de Informações das áreas ao DW - Contabilidade</t>
  </si>
  <si>
    <t>Integração de Informações das áreas ao DW - Contabilidade</t>
  </si>
  <si>
    <t xml:space="preserve">- Definição dos perfis de "gestor de domínio", "guardião de negócio" nas áreas de negócio (15%) - (Abril/2026)
- Realizar os treinamentos de Gestor de Domínio e Guardião de Negócio (UniÁguas) (15%) - (Maio/2026)
- Definição dos indicadores prioritários alinhados ao orçamento e a capacidade de TI para entrega (30%) - (Junho/2026)
- Entregar 100% dos projetos aprovados - (40%) (Dezembro/2026)
 </t>
  </si>
  <si>
    <t xml:space="preserve">Isadora Viceconti Goulart  </t>
  </si>
  <si>
    <t>CorporativoIntegração de Informações das áreas ao DW - Superintendência de Gestão e Orçamento</t>
  </si>
  <si>
    <t>Integração de Informações das áreas ao DW - Superintendência de Gestão e Orçamento</t>
  </si>
  <si>
    <t xml:space="preserve">Marcos:
- Definição dos perfis de "gestor de domínio", "guardião de negócio" nas áreas de negócio (50%) - (Abril/2026)
- Realizar os treinamentos de Gestor de Domínio e Guardião de Negócio (UniÁguas) (50%) - (Maio/2026)
</t>
  </si>
  <si>
    <t>Kellen Bridi</t>
  </si>
  <si>
    <t>CorporativoCriação de ferramenta automatizada para coleta e extração de dados do SINISA incluindo realização de operação para calculo de indicadores</t>
  </si>
  <si>
    <t>Criação de ferramenta automatizada para coleta e extração de dados do SINISA incluindo realização de operação para calculo de indicadores</t>
  </si>
  <si>
    <t>Prazo: Dezembro/26
1. Definição do Projeto e Levantamento de Requisitos: Jun/26 | Peso: 30%
2. Seleção de Tecnologia e Planejamento da Implementação: Ago/26 | Peso: 30%
3. Disponibilização do ambiente: Dez/26 | Peso: 40%</t>
  </si>
  <si>
    <t>Felipe Nobre</t>
  </si>
  <si>
    <t>CorporativoIntegração das Informações do Sistema de Desdobramento de Metas no DW</t>
  </si>
  <si>
    <t>Integração das Informações do Sistema de Desdobramento de Metas no DW</t>
  </si>
  <si>
    <t>Luiza Rosalba</t>
  </si>
  <si>
    <t>CorporativoIntegração das Informações do Sistema de Planjemento Financeiro no DW</t>
  </si>
  <si>
    <t>Integração das Informações do Sistema de Planjemento Financeiro no DW</t>
  </si>
  <si>
    <t>CorporativoProposta de solução de substituição do Inova - Consolidado</t>
  </si>
  <si>
    <t>Proposta de solução de substituição do Inova - Consolidado</t>
  </si>
  <si>
    <t>Marcos: 
- Pré-Projeto Oracle: 40% - (Maio/26)   
- Assessment SAP: 40% - (Maio/26)
- Apresentar proposta de solução - 20% (Jul/26)</t>
  </si>
  <si>
    <t>Rodrigo Maia</t>
  </si>
  <si>
    <t>CorporativoIntegração de Informações das áreas ao DW - Consolidado</t>
  </si>
  <si>
    <t>Integração de Informações das áreas ao DW - Consolidado</t>
  </si>
  <si>
    <t>- Definição dos perfis de "gestor de domínio", "guardião de negócio" nas áreas de negócio (15%) - (Abril/2026)
- Realizar os treinamentos de Gestor de Domínio e Guardião de Negócio (UniÁguas) (15%) - (maio/2026)
- Definição dos indicadores prioritários alinhados ao orçamento e a capacidade de TI para entrega (30%) - (maio/2026)
- Entregar 100% dos projetos aprovados conforme abaixo: [(1,11%)*36 projetos] = 40% (Dezembro/2026)
  - 14 projetos para a Diretoria do Comercial
  - 18 projetos para a Diretoria de Operações
  - 02 projetos para a Diretoria de Planejamento O&amp;D
  - 02 projetos para a Diretoria de Financeiro</t>
  </si>
  <si>
    <t>CorporativoImplantação do Gestão de Serviços Unificado (GSC, GSO e GP) - TI</t>
  </si>
  <si>
    <t>Implantação do Gestão de Serviços Unificado (GSC, GSO e GP) - TI</t>
  </si>
  <si>
    <t>Marcos:
1.Implantação das iniciativas até Dezembro / 2026
   1.1. Implantação de Melhorias no iNova e Geocall -  50% - Dezembro/26
   1.2. Rollout GS  em 6 concessionárias 50% - Dezembro/26</t>
  </si>
  <si>
    <t>Cristiane Sobral</t>
  </si>
  <si>
    <t>CorporativoCumprimento de marcos das Iniciativas Prioritárias</t>
  </si>
  <si>
    <t>Cumprimento de marcos das Iniciativas Prioritárias</t>
  </si>
  <si>
    <t>Marcos:
1.Implantação das iniciativas até Dezembro / 2026
1.1. Suprimentos: Implantação no Nashai  -  40% - Dezembro/26
1.2. Comercial: Cadastro integrado GIS e iNOVA - 30% - Dezembro/26
1.3. Orçamento e Gestão: Lever Pro -  30% - Julho/26</t>
  </si>
  <si>
    <t>CorporativoOtimização do custo de impressão nas concessões</t>
  </si>
  <si>
    <t>Otimização do custo de impressão nas concessões</t>
  </si>
  <si>
    <t>Reduzir os gastos de impressão em 5%
Meios: 
Marcos:
4.1 Padronização e Controle do Parque de Impressões – peso 30% - (Junho/26)
4.2. Construção e divulgação de book de indicadores e estabelecer processo de melhoria contínua - 30% - (Agosto/2026)
4.3 Redução dos Custos Globais em 5% – 40% (Dezembro/26)</t>
  </si>
  <si>
    <t>Marcelo Olaso</t>
  </si>
  <si>
    <t>CorporativoAtualização tecnológica do Office 2016 do GAB e Rio+ de acordo com o orçamento</t>
  </si>
  <si>
    <t>Atualização tecnológica do Office 2016 do GAB e Rio+ de acordo com o orçamento</t>
  </si>
  <si>
    <t xml:space="preserve">Marcos de acompanhamento
Execução do projeto dentro do orçamento aprovado DEZ/26
100% dos usuários ativos migrados do Office 2016 para versão suportada
100% dos dispositivos compatíveis e homologados antes da migração
Zero uso de software Office fora de suporte até o final de 2026
Redução de 100% dos riscos associados a vulnerabilidades conhecidas do Office 2016
</t>
  </si>
  <si>
    <t>CorporativoCumprimento ao SLA de Incidentes de TI (%): Sistemas do Comercial &amp; Inovação</t>
  </si>
  <si>
    <t>Cumprimento ao SLA de Incidentes de TI (%): Sistemas do Comercial &amp; Inovação</t>
  </si>
  <si>
    <t>Camila Rodrigues</t>
  </si>
  <si>
    <t>CorporativoImplantação do Cadastro Integrado iNOVA e GIS - TI</t>
  </si>
  <si>
    <t>Implantação do Cadastro Integrado iNOVA e GIS - TI</t>
  </si>
  <si>
    <t>Adaptação dos sistemas Comercias para garantir a entrega do Cadastro Integrado 100% (Dezembro/2026)</t>
  </si>
  <si>
    <t>CorporativoSubstituição do iNOVA - TI (CR)</t>
  </si>
  <si>
    <t>Substituição do iNOVA - TI (CR)</t>
  </si>
  <si>
    <t>Marcos: 
- Pré-Projeto Oracle - Piloto e Benchs da solução - 100% (Maio/26)</t>
  </si>
  <si>
    <t>CorporativoSubstituição do iNOVA - TI (SP)</t>
  </si>
  <si>
    <t>Substituição do iNOVA - TI (SP)</t>
  </si>
  <si>
    <t>Marcos: 
- Pré-Projeto Oracle - Análise da aderência da solução mandatórias do Comercial - 100% (Maio/26)</t>
  </si>
  <si>
    <t>Simone Peralta</t>
  </si>
  <si>
    <t>CorporativoPadronização no módulo de faturamento</t>
  </si>
  <si>
    <t>Padronização no módulo de faturamento</t>
  </si>
  <si>
    <t xml:space="preserve">Marcos: 
1. Padronização no módulo de faturamento concluída em Novembro/2026
1.1. Desenvolvimento e Validação de TI - 50%-Setembro
1.2. Homologação pela área usuária - 40% - Outubro
1.3. Preparação para entrada em produção - 10% - Novembro
</t>
  </si>
  <si>
    <t>CorporativoCumprimento de Marcos da iniciativa do Comercial - Cadastro Integrado (Qgis x iNova)</t>
  </si>
  <si>
    <t>Cumprimento de Marcos da iniciativa do Comercial - Cadastro Integrado (Qgis x iNova)</t>
  </si>
  <si>
    <t>Ana Pacheco</t>
  </si>
  <si>
    <t>CorporativoCumprimento ao SLA de Incidentes de TI (%): Sistemas do Suprimentos &amp; Apoio</t>
  </si>
  <si>
    <t>Cumprimento ao SLA de Incidentes de TI (%): Sistemas do Suprimentos &amp; Apoio</t>
  </si>
  <si>
    <t>Cintia Soares</t>
  </si>
  <si>
    <t>CorporativoCumprimento de Marcos do Projeto de Implantação da plataforma integrada dos processos de compras, contratos e fornecedores- Nashai</t>
  </si>
  <si>
    <t>Cumprimento de Marcos do Projeto de Implantação da plataforma integrada dos processos de compras, contratos e fornecedores- Nashai</t>
  </si>
  <si>
    <t>Marcos:
1. Homologação de novo sistema de suprimentos (Nashai), até Dezembro de 2026
   1.1. Planejamento e Contratação - 10% ( Abril )
   1.2. Homologação da solução - 90% ( Dezembro ) - a confirmar pós planejamento</t>
  </si>
  <si>
    <t>CorporativoCumprimento ao SLA de Incidentes de TI (%): Sistemas de Finanças &amp; Planejamento</t>
  </si>
  <si>
    <t>Cumprimento ao SLA de Incidentes de TI (%): Sistemas de Finanças &amp; Planejamento</t>
  </si>
  <si>
    <t>Marcela Teixeira</t>
  </si>
  <si>
    <t>CorporativoCumprimento de Marcos do Projeto de Implantação da Ferramenta de Planejamento Financeiro - Leverpro</t>
  </si>
  <si>
    <t>Cumprimento de Marcos do Projeto de Implantação da Ferramenta de Planejamento Financeiro - Leverpro</t>
  </si>
  <si>
    <t>Marcos:
1.Implantação do sistema LerverPro até Julho/2026
   1.1. Viabilizar acompanhamento do Orçamento 2026 na solução- 30% (Fevereiro)
   1.2. Viabilizar elaboração orçamento 2027 na solução - 70% (Julho)</t>
  </si>
  <si>
    <t>CorporativoCumprimento ao SLA de Incidentes de TI (%): Sistemas de Operações &amp; Engenharia</t>
  </si>
  <si>
    <t>Cumprimento ao SLA de Incidentes de TI (%): Sistemas de Operações &amp; Engenharia</t>
  </si>
  <si>
    <t>Pedro Negrini</t>
  </si>
  <si>
    <t>CorporativoSubstituição do iNOVA - TI (PN)</t>
  </si>
  <si>
    <t>Substituição do iNOVA - TI (PN)</t>
  </si>
  <si>
    <t>Marcos: 
- Pré-Projeto Oracle - Análise da aderência da solução as necessidades mandatórias para os processos de gestão dos serviços em campo - 100% (Maio/26)</t>
  </si>
  <si>
    <t>CorporativoImplantação do Gestão de Serviços Unificado (GSC, GSO e GP) - TI - (PN)</t>
  </si>
  <si>
    <t>Implantação do Gestão de Serviços Unificado (GSC, GSO e GP) - TI - (PN)</t>
  </si>
  <si>
    <t>CorporativoSubstituição do iNOVA – TI (ME)</t>
  </si>
  <si>
    <t>Substituição do iNOVA – TI (ME)</t>
  </si>
  <si>
    <t>Marcos: 
- Pré-Projeto Oracle: Validação da arquitetura proposta pela Oracle - 40% - (Maio/26)   
- Assessment SAP: Participação de todos os Assessment entre SAP e GAB e validação da arquitetura proposta pela SAP - 40% - (Maio/26)
- Apresentar proposta de solução - 20% (Jul/26)</t>
  </si>
  <si>
    <t>Marcelo Eyer</t>
  </si>
  <si>
    <t>CorporativoAssessment de Maturidade do Microsoft Azure Devops (ME)</t>
  </si>
  <si>
    <t>Assessment de Maturidade do Microsoft Azure Devops (ME)</t>
  </si>
  <si>
    <t xml:space="preserve">
Marcos:Meios
- Implantação dos indicadores de gestão (30%): Novembro
- Diagnóstico da maturidade atual frente as boas práticas de mercado (30%): Novembro
- Definir maturidade alvo e plano de ação (40%): Novembro</t>
  </si>
  <si>
    <t>CorporativoAumento da disponibilidade e segurança dos serviços de tecnologia que dependem de integração (ME)</t>
  </si>
  <si>
    <t>Aumento da disponibilidade e segurança dos serviços de tecnologia que dependem de integração (ME)</t>
  </si>
  <si>
    <t xml:space="preserve">Meio: 
- Estabelecer plano de ação para adequar as APIs de maior relevância criadas ou alteradas com data de criação até 31/Julho  50% (Setembro/26)
'- 90% das apis criadas a partir do término do projeto aderentes aos padrões definidos até final de 2026; 
- 90% das apis alteradas a partir do término do projeto aderentes aos padrões definidos até final de 2026; 
</t>
  </si>
  <si>
    <t>CorporativoCumprimento ao SLA de Satisfação TI (%): Infraestrutura de TI/Redes</t>
  </si>
  <si>
    <t>Cumprimento ao SLA de Satisfação TI (%): Infraestrutura de TI/Redes</t>
  </si>
  <si>
    <t>Adilson Campos</t>
  </si>
  <si>
    <t>CorporativoCumprimento ao SLA de Incidentes de TI (%): Infraestrutura de TI/Redes</t>
  </si>
  <si>
    <t>Cumprimento ao SLA de Incidentes de TI (%): Infraestrutura de TI/Redes</t>
  </si>
  <si>
    <t>CorporativoExecução do Projeto Melhorias de Rede SAAL/SAAB e CAN</t>
  </si>
  <si>
    <t>Execução do Projeto Melhorias de Rede SAAL/SAAB e CAN</t>
  </si>
  <si>
    <t xml:space="preserve">Redução de 5% do número de incidentes de rede pela quantidade total de usuários, em SAAL, SAAB e CAN medidos atraves do Jira/DEZ26 - 100% </t>
  </si>
  <si>
    <t>CorporativoExecução do Projeto Melhorias de Rede - Concessão</t>
  </si>
  <si>
    <t>Execução do Projeto Melhorias de Rede - Concessão</t>
  </si>
  <si>
    <t>Implantar, conforme orçamento da área, as iniciativas de rede das concessões/DEZ26</t>
  </si>
  <si>
    <t>CorporativoAtualização tecnológica do sistema de ticket (avaliação de ferramentas, poc, escolha e implantação de um software de ticket)</t>
  </si>
  <si>
    <t>Atualização tecnológica do sistema de ticket (avaliação de ferramentas, poc, escolha e implantação de um software de ticket)</t>
  </si>
  <si>
    <t>Atualizar e modernizar o sistema de aplicação de patches de segurança, com automação e maior cobertura do ambiente, reduzindo vulnerabilidades conhecidas, elevando o nível de proteção cibernética e garantindo um processo contínuo, eficiente e alinhado às melhores práticas de segurança./DEZ26</t>
  </si>
  <si>
    <t>Leonardo Guimaraes</t>
  </si>
  <si>
    <t>CorporativoCumprimento ao SLA de Satisfação TI (%): Infraestrutura de TI/Serviços (Estação de Trabalho)</t>
  </si>
  <si>
    <t>Cumprimento ao SLA de Satisfação TI (%): Infraestrutura de TI/Serviços (Estação de Trabalho)</t>
  </si>
  <si>
    <t>CorporativoCumprimento ao SLA de Incidentes de TI (%): Infraestrutura de TI/Serviços (Estação de Trabalho)</t>
  </si>
  <si>
    <t>Cumprimento ao SLA de Incidentes de TI (%): Infraestrutura de TI/Serviços (Estação de Trabalho)</t>
  </si>
  <si>
    <t>CorporativoIntegração de Dados Integra e DW (MA)</t>
  </si>
  <si>
    <t>Integração de Dados Integra e DW (MA)</t>
  </si>
  <si>
    <t>Capacitar 100% dos Número de capacitações de gestores de domínios e Guardião de Negócios e IA</t>
  </si>
  <si>
    <t>Mauricio Alves</t>
  </si>
  <si>
    <t>CorporativoCumprimento de Marcos do Projeto de Excelência em Tecnologia (%) - Modelo operacional integrado TI e Negócios</t>
  </si>
  <si>
    <t>Cumprimento de Marcos do Projeto de Excelência em Tecnologia (%) - Modelo operacional integrado TI e Negócios</t>
  </si>
  <si>
    <t xml:space="preserve">Marcos:
Elaboração da política e procedimentos de gestão de portfólio e projetos (50%) - Maio
Implantar uma ferramenta de gestão de portfólio de TI conforme política (50%) - Setembro
</t>
  </si>
  <si>
    <t>Carla Nascimento</t>
  </si>
  <si>
    <t>CorporativoProposta de solução de substituição do Inova (CN)</t>
  </si>
  <si>
    <t>Proposta de solução de substituição do Inova (CN)</t>
  </si>
  <si>
    <t>Marcos: 
- Pré-Projeto Oracle: Fazer a gestão do projeto promovendo interações entre Oracle e GAB afim de garantir que os prazos sejam cumpridos - 40% - (Maio/26)   
- Assessment SAP: Fazer a gestão do projeto promovendo interações entre SAP e GAB afim de garantir que os prazos sejam cumpridos - 40% - (Maio/26)
- Acompanhar a proposta de solução a ser apresentada pelos proponentes envolvidos - 20% (Jul/26)</t>
  </si>
  <si>
    <t>CorporativoCumprimento ao SLA de Incidentes de TI (%): BI</t>
  </si>
  <si>
    <t>Cumprimento ao SLA de Incidentes de TI (%): BI</t>
  </si>
  <si>
    <t>Jose Galasjo</t>
  </si>
  <si>
    <t>CorporativoPortfolio de dados - Integração do DW ao corporativo do GAB</t>
  </si>
  <si>
    <t>Portfolio de dados - Integração do DW ao corporativo do GAB</t>
  </si>
  <si>
    <t>Marcos:
- Estar com 80% dos desenhos técnicos dos projetos mapeados no roadmap dentro do baseline. (40%) - Dezembro/2026
- Entregar 80% do roadmap de projetos aprovados 60% - Dezembro/2026</t>
  </si>
  <si>
    <t>CorporativoAtualização tecnológica do Office 2016 do GAB e Rio+ de acordo com o orçamento (TF)</t>
  </si>
  <si>
    <t>Atualização tecnológica do Office 2016 do GAB e Rio+ de acordo com o orçamento (TF)</t>
  </si>
  <si>
    <t>Atualizar o parque corporativo do Office 2016 do GAB e Rio+ para versões suportadas e alinhadas à estratégia corporativa, garantindo segurança, continuidade operacional, compatibilidade tecnológica e conformidade, respeitando rigorosamente o orçamento aprovado.DEZ26</t>
  </si>
  <si>
    <t>Thiago Ferreira</t>
  </si>
  <si>
    <t>CorporativoCumprimento ao SLA de Satisfação TI (%): Infraestrutura de TI/Datacenter</t>
  </si>
  <si>
    <t>Cumprimento ao SLA de Satisfação TI (%): Infraestrutura de TI/Datacenter</t>
  </si>
  <si>
    <t>CorporativoCumprimento ao SLA de Incidentes de TI (%): Infraestrutura de TI/Datacenter</t>
  </si>
  <si>
    <t>Cumprimento ao SLA de Incidentes de TI (%): Infraestrutura de TI/Datacenter</t>
  </si>
  <si>
    <t>CorporativoCumprimento ao SLA de Satisfação TI (%): Cybersegurança</t>
  </si>
  <si>
    <t>Cumprimento ao SLA de Satisfação TI (%): Cybersegurança</t>
  </si>
  <si>
    <t>Juliano Rodrigues</t>
  </si>
  <si>
    <t>CorporativoAtualização tecnológica do sistema de atualização de patches de segurança (Segurança)</t>
  </si>
  <si>
    <t>Atualização tecnológica do sistema de atualização de patches de segurança (Segurança)</t>
  </si>
  <si>
    <t>CorporativoSubstituição do iNOVA - TI (DT)</t>
  </si>
  <si>
    <t>Substituição do iNOVA - TI (DT)</t>
  </si>
  <si>
    <t>Marcos: 
- Pré-Projeto Oracle: Validação da arquitetura proposta pela Oracle - 80% - (Maio/26)  
- Apresentar proposta de solução - 20% (Jul/26)</t>
  </si>
  <si>
    <t>Diego Tancler</t>
  </si>
  <si>
    <t>CorporativoAssessment de Maturidade do Microsoft Azure Devops (DT)</t>
  </si>
  <si>
    <t>Assessment de Maturidade do Microsoft Azure Devops (DT)</t>
  </si>
  <si>
    <t xml:space="preserve">Marcos:
- Implantação dos indicadores de gestão (30%): Agosto
- Diagnóstico da maturidade atual frente as boas práticas de mercado (30%): Agosto
- Definir maturidade alvo e plano de ação (40%): Agosto
</t>
  </si>
  <si>
    <t>CorporativoAumento da disponibilidade e segurança dos serviços de tecnologia que dependem de integração (DT)</t>
  </si>
  <si>
    <t>Aumento da disponibilidade e segurança dos serviços de tecnologia que dependem de integração (DT)</t>
  </si>
  <si>
    <t xml:space="preserve">
Marcos:
- Implantar a solução (40%): Julho
- Estabelecer procedimento de governança para criação de novas API's (20%): Agosto
- Garantir a governança de API's criadas a partir de 2026 (40%): Setembro
'- 90% das apis criadas a partir do término do projeto aderentes aos padrões definidos até final de 2026; 
- 90% das apis alteradas a partir do término do projeto aderentes aos padrões definidos até final de 2026; 
- Levantar a qtd de integrações via APIs (métodos) fora do padrão e definir um Plano de Ação para alcançar 20% até o final de 2026;
\\ preencher com ganhos tangíveis e intangíveis 
</t>
  </si>
  <si>
    <t>CorporativoElaboração do mapa de arquitetura dos sistemas que suportam as áreas</t>
  </si>
  <si>
    <t>Elaboração do mapa de arquitetura dos sistemas que suportam as áreas</t>
  </si>
  <si>
    <t>Marcos:
Concluir mapas de Operações, Sustentabilidade, RH (40%): Junho
Concluir mapas do Jurídico, Inovação, Compliance, Comunicação (30%): Outubro
Concluir mapas de Engenharia, Automação, Planejamento e TI (30%): Dezembro
áreas: 
(1) Operações
(2) Sustentabilidade
(3) RH
(4) Juridico
(5) Inovaçao
(6) Compliance
(7) Comunicação
(8) Engenharia
(9) Automaçao
(10) Planejamento Financeiro 
(11) TI</t>
  </si>
  <si>
    <t>CorporativoIntegração de Informações das áreas ao DW - Comercial</t>
  </si>
  <si>
    <t>Integração de Informações das áreas ao DW - Comercial</t>
  </si>
  <si>
    <t xml:space="preserve">
Marcos:
- Definição dos perfis de "gestor de domínio", "guardião de negócio" na área de negócio (15%) -  (Abril/2026)
- Realizar os treinamentos de Gestor de Domínio e Guardião de Negócio (UniÁguas) (15%) - (Maio/2026)
- Definição dos indicadores prioritários alinhados ao orçamento e a capacidade de TI para entrega (30%) - (Abril/2026)
- Entregar 100% dos projetos aprovados conforme abaixo: [(2,86%) * 14 projetos] = 40% (Dezembro/2026)
  - 14 projetos para a Diretoria de Comercial
</t>
  </si>
  <si>
    <t>Marcus Nunes</t>
  </si>
  <si>
    <t>CorporativoIntegração de Informações das áreas ao DW - Operação</t>
  </si>
  <si>
    <t>Integração de Informações das áreas ao DW - Operação</t>
  </si>
  <si>
    <t>Marcos:
- Definição dos perfis de "gestor de domínio", "guardião de negócio" nas áreas de negócio (15%) -  (Abril/2026)
- Realizar os treinamentos de Gestor de Domínio e Guardião de Negócio (UniÁguas) (15%) -(Maio/2026)
- Definição dos indicadores prioritários alinhados ao orçamento e a capacidade de TI para entrega (30%) - (Abril/2026)
- Entregar 100% dos projetos aprovados conforme abaixo: [(2,22%)*18 projetos] = 40% (Dezembro/2026)
  - 18 projetos para a Diretoria de Operações</t>
  </si>
  <si>
    <t>Maria Fernanda Assunção</t>
  </si>
  <si>
    <t>CorporativoIntegração de Informações das áreas ao DW - RH</t>
  </si>
  <si>
    <t>Integração de Informações das áreas ao DW - RH</t>
  </si>
  <si>
    <t>Luciana Reis</t>
  </si>
  <si>
    <t>CorporativoIntegração de Informações das áreas ao DW - Sustentabilidade</t>
  </si>
  <si>
    <t>Integração de Informações das áreas ao DW - Sustentabilidade</t>
  </si>
  <si>
    <t>Nelson Ricardo da Silva Carvalho</t>
  </si>
  <si>
    <t>J</t>
  </si>
  <si>
    <t xml:space="preserve">Definição dos perfis de "gestor de domínio", "guardião de negócio" nas áreas de negócio (15%) - (Abril/2026)
- Realizar os treinamentos de Gestor de Domínio e Guardião de Negócio (UniÁguas) (15%) - (Maio/2026)
- Definição dos indicadores prioritários alinhados ao orçamento e a capacidade de TI para entrega (30%) - (Junho/2026)
- Entregar 100% dos projetos aprovados - (40%) (Dezembro/2026)
 </t>
  </si>
  <si>
    <t>Marcos: 
1.Implantação das iniciativas até Dezembro / 2026
   1.1. Rollout GS - Configuração e Operação assistida em 3 concessões - 25%  (Julho)
   1.2. Garantir roteirização de serviços programados -  25% (Setembro)
   1.3. Automatização da emissão de Notificação e Auto de Infração - 25% (Dezembro)
   1.4. Rollout GS - Configuração e Operação assistida em mais 3 concessionárias - 25% (Dezembro)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</si>
  <si>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</si>
  <si>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</si>
  <si>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</si>
  <si>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</si>
  <si>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</si>
  <si>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</si>
  <si>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</si>
  <si>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</si>
  <si>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</si>
  <si>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</si>
  <si>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</si>
  <si>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</si>
  <si>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Meses</t>
  </si>
  <si>
    <t xml:space="preserve"> Meta</t>
  </si>
  <si>
    <t xml:space="preserve"> Realizado</t>
  </si>
  <si>
    <t xml:space="preserve"> Acumulado</t>
  </si>
  <si>
    <t>Cumprimento ao SLA de Incidentes de TI (%): Sistemas do Comercial (Relacionamento e Arrecadação)</t>
  </si>
  <si>
    <t>CorporativoCumprimento ao SLA de Incidentes de TI (%): Sistemas do Comercial (Relacionamento e Arrecadação)</t>
  </si>
  <si>
    <t>Métrica</t>
  </si>
  <si>
    <t>(vazio)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</si>
</sst>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mmmm"/>
    <numFmt numFmtId="165" formatCode="0%;\-0%;&quot;&quot;"/>
  </numFmts>
  <fonts count="6">
    <font>
      <sz val="11"/>
      <color theme="1"/>
      <name val="Calibri"/>
      <family val="2"/>
      <scheme val="minor"/>
    </font>
    <font>
      <b/>
      <sz val="10"/>
      <color theme="0"/>
      <name val="Calibri Light"/>
      <family val="2"/>
    </font>
    <font>
      <sz val="10"/>
      <name val="Arial"/>
      <family val="2"/>
    </font>
    <font>
      <sz val="10"/>
      <color theme="1"/>
      <name val="Calibri Light"/>
      <family val="2"/>
    </font>
    <font>
      <sz val="20"/>
      <color theme="0"/>
      <name val="Wingdings"/>
      <charset val="2"/>
    </font>
    <font>
      <sz val="11"/>
      <color theme="1"/>
      <name val="Wingdings"/>
    </font>
  </fonts>
  <fills count="5">
    <fill>
      <patternFill patternType="none"/>
    </fill>
    <fill>
      <patternFill patternType="gray125"/>
    </fill>
    <fill>
      <patternFill patternType="solid">
        <fgColor theme="6"/>
        <bgColor theme="6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rgb="FF00B050"/>
        <bgColor indexed="64"/>
      </patternFill>
    </fill>
  </fills>
  <borders count="17">
    <border>
      <left/>
      <right/>
      <top/>
      <bottom/>
      <diagonal/>
    </border>
    <border>
      <left/>
      <right style="thin">
        <color theme="0" tint="-0.34998626667073579"/>
      </right>
      <top style="thin">
        <color theme="1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1"/>
      </top>
      <bottom/>
      <diagonal/>
    </border>
    <border>
      <left style="thin">
        <color theme="0" tint="-0.34998626667073579"/>
      </left>
      <right/>
      <top style="thin">
        <color theme="1"/>
      </top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theme="1"/>
      </left>
      <right/>
      <top/>
      <bottom/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39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4" fillId="4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3" fillId="3" borderId="5" xfId="1" applyNumberFormat="1" applyFont="1" applyFill="1" applyBorder="1" applyAlignment="1">
      <alignment horizontal="left" vertical="center" wrapText="1"/>
    </xf>
    <xf numFmtId="0" fontId="0" fillId="0" borderId="5" xfId="0" applyBorder="1" applyAlignment="1">
      <alignment wrapText="1"/>
    </xf>
    <xf numFmtId="0" fontId="0" fillId="0" borderId="5" xfId="0" applyBorder="1"/>
    <xf numFmtId="0" fontId="4" fillId="4" borderId="5" xfId="0" applyFont="1" applyFill="1" applyBorder="1" applyAlignment="1">
      <alignment horizontal="center" vertical="center" wrapText="1"/>
    </xf>
    <xf numFmtId="164" fontId="0" fillId="0" borderId="5" xfId="0" applyNumberFormat="1" applyBorder="1"/>
    <xf numFmtId="0" fontId="3" fillId="3" borderId="7" xfId="1" applyNumberFormat="1" applyFont="1" applyFill="1" applyBorder="1" applyAlignment="1">
      <alignment horizontal="left" vertical="center" wrapText="1"/>
    </xf>
    <xf numFmtId="0" fontId="3" fillId="3" borderId="8" xfId="1" applyNumberFormat="1" applyFont="1" applyFill="1" applyBorder="1" applyAlignment="1">
      <alignment horizontal="left" vertical="center" wrapText="1"/>
    </xf>
    <xf numFmtId="0" fontId="3" fillId="3" borderId="9" xfId="1" applyNumberFormat="1" applyFont="1" applyFill="1" applyBorder="1" applyAlignment="1">
      <alignment horizontal="left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/>
    <xf numFmtId="0" fontId="0" fillId="0" borderId="12" xfId="0" applyBorder="1"/>
    <xf numFmtId="0" fontId="0" fillId="0" borderId="12" xfId="0" pivotButton="1" applyBorder="1"/>
    <xf numFmtId="0" fontId="0" fillId="0" borderId="13" xfId="0" applyBorder="1"/>
    <xf numFmtId="0" fontId="0" fillId="0" borderId="14" xfId="0" pivotButton="1" applyBorder="1"/>
    <xf numFmtId="0" fontId="0" fillId="0" borderId="0" xfId="0" pivotButton="1" applyBorder="1"/>
    <xf numFmtId="0" fontId="0" fillId="0" borderId="0" xfId="0" applyBorder="1"/>
    <xf numFmtId="0" fontId="0" fillId="0" borderId="4" xfId="0" applyBorder="1"/>
    <xf numFmtId="0" fontId="0" fillId="0" borderId="14" xfId="0" applyBorder="1"/>
    <xf numFmtId="0" fontId="0" fillId="0" borderId="15" xfId="0" applyBorder="1"/>
    <xf numFmtId="0" fontId="0" fillId="0" borderId="0" xfId="0" applyBorder="1" applyAlignment="1">
      <alignment wrapText="1"/>
    </xf>
    <xf numFmtId="0" fontId="0" fillId="0" borderId="0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165" fontId="0" fillId="0" borderId="0" xfId="0" applyNumberFormat="1" applyBorder="1" applyAlignment="1">
      <alignment horizontal="center" vertical="center"/>
    </xf>
    <xf numFmtId="165" fontId="0" fillId="0" borderId="4" xfId="0" applyNumberFormat="1" applyBorder="1" applyAlignment="1">
      <alignment horizontal="center" vertical="center"/>
    </xf>
    <xf numFmtId="165" fontId="0" fillId="0" borderId="5" xfId="0" applyNumberFormat="1" applyBorder="1" applyAlignment="1">
      <alignment horizontal="center" vertical="center"/>
    </xf>
    <xf numFmtId="165" fontId="0" fillId="0" borderId="16" xfId="0" applyNumberFormat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</cellXfs>
  <cellStyles count="2">
    <cellStyle name="Normal" xfId="0" builtinId="0"/>
    <cellStyle name="Normal 2" xfId="1"/>
  </cellStyles>
  <dxfs count="47">
    <dxf>
      <font>
        <sz val="20"/>
      </font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numFmt numFmtId="165" formatCode="0%;\-0%;&quot;&quot;"/>
    </dxf>
    <dxf>
      <alignment horizontal="left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bottom" readingOrder="0"/>
    </dxf>
    <dxf>
      <alignment horizontal="center" readingOrder="0"/>
    </dxf>
    <dxf>
      <alignment vertical="center" readingOrder="0"/>
    </dxf>
    <dxf>
      <alignment wrapText="1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3" formatCode="0%"/>
    </dxf>
    <dxf>
      <font>
        <name val="Wingdings"/>
        <scheme val="none"/>
      </font>
    </dxf>
    <dxf>
      <border>
        <bottom style="thin">
          <color theme="1"/>
        </bottom>
        <vertical/>
        <horizontal/>
      </border>
    </dxf>
    <dxf>
      <font>
        <strike val="0"/>
        <color theme="0"/>
      </font>
      <fill>
        <patternFill>
          <bgColor rgb="FF00B050"/>
        </patternFill>
      </fill>
    </dxf>
    <dxf>
      <font>
        <strike val="0"/>
        <color theme="0"/>
      </font>
      <fill>
        <patternFill>
          <bgColor rgb="FFC00000"/>
        </patternFill>
      </fill>
    </dxf>
    <dxf>
      <border>
        <bottom style="thin">
          <color theme="1"/>
        </bottom>
        <vertical/>
        <horizontal/>
      </border>
    </dxf>
    <dxf>
      <border>
        <bottom style="thin">
          <color theme="1"/>
        </bottom>
        <vertical/>
        <horizontal/>
      </border>
    </dxf>
    <dxf>
      <font>
        <b val="0"/>
        <i val="0"/>
        <strike val="0"/>
        <color theme="0"/>
      </font>
      <fill>
        <patternFill patternType="solid">
          <fgColor rgb="FFFF0000"/>
          <bgColor rgb="FFFF0000"/>
        </patternFill>
      </fill>
    </dxf>
    <dxf>
      <font>
        <b val="0"/>
        <i val="0"/>
        <strike val="0"/>
        <color theme="0"/>
      </font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Caio Fernandes de Amorim" refreshedDate="46154.474797685187" createdVersion="6" refreshedVersion="6" minRefreshableVersion="3" recordCount="636">
  <cacheSource type="worksheet">
    <worksheetSource ref="A1:K637" sheet="Report"/>
  </cacheSource>
  <cacheFields count="12">
    <cacheField name="ID" numFmtId="0">
      <sharedItems containsSemiMixedTypes="0" containsString="0" containsNumber="1" containsInteger="1" minValue="1" maxValue="53" count="53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</sharedItems>
    </cacheField>
    <cacheField name="Tipo" numFmtId="0">
      <sharedItems/>
    </cacheField>
    <cacheField name="ID2" numFmtId="0">
      <sharedItems/>
    </cacheField>
    <cacheField name="Indicador" numFmtId="0">
      <sharedItems count="54">
        <s v="Integração de Informações das áreas ao DW - Contabilidade"/>
        <s v="Integração de Informações das áreas ao DW - Superintendência de Gestão e Orçamento"/>
        <s v="Criação de ferramenta automatizada para coleta e extração de dados do SINISA incluindo realização de operação para calculo de indicadores"/>
        <s v="Integração das Informações do Sistema de Desdobramento de Metas no DW"/>
        <s v="Integração das Informações do Sistema de Planjemento Financeiro no DW"/>
        <s v="Proposta de solução de substituição do Inova - Consolidado"/>
        <s v="Integração de Informações das áreas ao DW - Consolidado"/>
        <s v="Implantação do Gestão de Serviços Unificado (GSC, GSO e GP) - TI"/>
        <s v="Cumprimento de marcos das Iniciativas Prioritárias"/>
        <s v="Otimização do custo de impressão nas concessões"/>
        <s v="Atualização tecnológica do Office 2016 do GAB e Rio+ de acordo com o orçamento"/>
        <s v="Cumprimento ao SLA de Incidentes de TI (%): Sistemas do Comercial &amp; Inovação"/>
        <s v="Implantação do Cadastro Integrado iNOVA e GIS - TI"/>
        <s v="Substituição do iNOVA - TI (CR)"/>
        <s v="Substituição do iNOVA - TI (SP)"/>
        <s v="Padronização no módulo de faturamento"/>
        <s v="Cumprimento de Marcos da iniciativa do Comercial - Cadastro Integrado (Qgis x iNova)"/>
        <s v="Cumprimento ao SLA de Incidentes de TI (%): Sistemas do Comercial (Relacionamento e Arrecadação)"/>
        <s v="Cumprimento ao SLA de Incidentes de TI (%): Sistemas do Suprimentos &amp; Apoio"/>
        <s v="Cumprimento de Marcos do Projeto de Implantação da plataforma integrada dos processos de compras, contratos e fornecedores- Nashai"/>
        <s v="Cumprimento ao SLA de Incidentes de TI (%): Sistemas de Finanças &amp; Planejamento"/>
        <s v="Cumprimento de Marcos do Projeto de Implantação da Ferramenta de Planejamento Financeiro - Leverpro"/>
        <s v="Cumprimento ao SLA de Incidentes de TI (%): Sistemas de Operações &amp; Engenharia"/>
        <s v="Substituição do iNOVA - TI (PN)"/>
        <s v="Implantação do Gestão de Serviços Unificado (GSC, GSO e GP) - TI - (PN)"/>
        <s v="Substituição do iNOVA – TI (ME)"/>
        <s v="Assessment de Maturidade do Microsoft Azure Devops (ME)"/>
        <s v="Aumento da disponibilidade e segurança dos serviços de tecnologia que dependem de integração (ME)"/>
        <s v="Cumprimento ao SLA de Satisfação TI (%): Infraestrutura de TI/Redes"/>
        <s v="Cumprimento ao SLA de Incidentes de TI (%): Infraestrutura de TI/Redes"/>
        <s v="Execução do Projeto Melhorias de Rede SAAL/SAAB e CAN"/>
        <s v="Execução do Projeto Melhorias de Rede - Concessão"/>
        <s v="Atualização tecnológica do sistema de ticket (avaliação de ferramentas, poc, escolha e implantação de um software de ticket)"/>
        <s v="Cumprimento ao SLA de Satisfação TI (%): Infraestrutura de TI/Serviços (Estação de Trabalho)"/>
        <s v="Cumprimento ao SLA de Incidentes de TI (%): Infraestrutura de TI/Serviços (Estação de Trabalho)"/>
        <s v="Integração de Dados Integra e DW (MA)"/>
        <s v="Cumprimento de Marcos do Projeto de Excelência em Tecnologia (%) - Modelo operacional integrado TI e Negócios"/>
        <s v="Proposta de solução de substituição do Inova (CN)"/>
        <s v="Cumprimento ao SLA de Incidentes de TI (%): BI"/>
        <s v="Portfolio de dados - Integração do DW ao corporativo do GAB"/>
        <s v="Atualização tecnológica do Office 2016 do GAB e Rio+ de acordo com o orçamento (TF)"/>
        <s v="Cumprimento ao SLA de Satisfação TI (%): Infraestrutura de TI/Datacenter"/>
        <s v="Cumprimento ao SLA de Incidentes de TI (%): Infraestrutura de TI/Datacenter"/>
        <s v="Cumprimento ao SLA de Satisfação TI (%): Cybersegurança"/>
        <s v="Atualização tecnológica do sistema de atualização de patches de segurança (Segurança)"/>
        <s v="Substituição do iNOVA - TI (DT)"/>
        <s v="Assessment de Maturidade do Microsoft Azure Devops (DT)"/>
        <s v="Aumento da disponibilidade e segurança dos serviços de tecnologia que dependem de integração (DT)"/>
        <s v="Elaboração do mapa de arquitetura dos sistemas que suportam as áreas"/>
        <s v="Integração de Informações das áreas ao DW - Comercial"/>
        <s v="Integração de Informações das áreas ao DW - Operação"/>
        <s v="Integração de Informações das áreas ao DW - RH"/>
        <s v="Integração de Informações das áreas ao DW - Sustentabilidade"/>
        <s v="Cumprimento ao SLA de Satisfação TI (%): Sistemas do Comercial (Relacionamento e Arrecadação)" u="1"/>
      </sharedItems>
    </cacheField>
    <cacheField name="Marcos" numFmtId="0">
      <sharedItems containsBlank="1" count="39" longText="1">
        <s v="Definição dos perfis de &quot;gestor de domínio&quot;, &quot;guardião de negócio&quot; nas áreas de negócio (15%) - (Abril/2026)_x000a_- Realizar os treinamentos de Gestor de Domínio e Guardião de Negócio (UniÁguas) (15%) - (Maio/2026)_x000a_- Definição dos indicadores prioritários alinhados ao orçamento e a capacidade de TI para entrega (30%) - (Junho/2026)_x000a_- Entregar 100% dos projetos aprovados - (40%) (Dezembro/2026)_x000a_ "/>
        <s v="Marcos:_x000a_- Definição dos perfis de &quot;gestor de domínio&quot;, &quot;guardião de negócio&quot; nas áreas de negócio (50%) - (Abril/2026)_x000a_- Realizar os treinamentos de Gestor de Domínio e Guardião de Negócio (UniÁguas) (50%) - (Maio/2026)_x000a_"/>
        <s v="Prazo: Dezembro/26_x000a_1. Definição do Projeto e Levantamento de Requisitos: Jun/26 | Peso: 30%_x000a_2. Seleção de Tecnologia e Planejamento da Implementação: Ago/26 | Peso: 30%_x000a_3. Disponibilização do ambiente: Dez/26 | Peso: 40%"/>
        <s v="- Definição dos perfis de &quot;gestor de domínio&quot;, &quot;guardião de negócio&quot; nas áreas de negócio (15%) - (Abril/2026)_x000a_- Realizar os treinamentos de Gestor de Domínio e Guardião de Negócio (UniÁguas) (15%) - (Maio/2026)_x000a_- Definição dos indicadores prioritários alinhados ao orçamento e a capacidade de TI para entrega (30%) - (Junho/2026)_x000a_- Entregar 100% dos projetos aprovados - (40%) (Dezembro/2026)_x000a_ "/>
        <s v="Marcos: _x000a_- Pré-Projeto Oracle: 40% - (Maio/26)   _x000a_- Assessment SAP: 40% - (Maio/26)_x000a_- Apresentar proposta de solução - 20% (Jul/26)"/>
        <s v="- Definição dos perfis de &quot;gestor de domínio&quot;, &quot;guardião de negócio&quot; nas áreas de negócio (15%) - (Abril/2026)_x000a_- Realizar os treinamentos de Gestor de Domínio e Guardião de Negócio (UniÁguas) (15%) - (maio/2026)_x000a_- Definição dos indicadores prioritários alinhados ao orçamento e a capacidade de TI para entrega (30%) - (maio/2026)_x000a_- Entregar 100% dos projetos aprovados conforme abaixo: [(1,11%)*36 projetos] = 40% (Dezembro/2026)_x000a_  - 14 projetos para a Diretoria do Comercial_x000a_  - 18 projetos para a Diretoria de Operações_x000a_  - 02 projetos para a Diretoria de Planejamento O&amp;D_x000a_  - 02 projetos para a Diretoria de Financeiro"/>
        <s v="Marcos:_x000a_1.Implantação das iniciativas até Dezembro / 2026_x000a_   1.1. Implantação de Melhorias no iNova e Geocall -  50% - Dezembro/26_x000a_   1.2. Rollout GS  em 6 concessionárias 50% - Dezembro/26"/>
        <s v="Marcos:_x000a_1.Implantação das iniciativas até Dezembro / 2026_x000a_1.1. Suprimentos: Implantação no Nashai  -  40% - Dezembro/26_x000a_1.2. Comercial: Cadastro integrado GIS e iNOVA - 30% - Dezembro/26_x000a_1.3. Orçamento e Gestão: Lever Pro -  30% - Julho/26"/>
        <s v="Reduzir os gastos de impressão em 5%_x000a_Meios: _x000a_Marcos:_x000a__x000a_4.1 Padronização e Controle do Parque de Impressões – peso 30% - (Junho/26)_x000a_4.2. Construção e divulgação de book de indicadores e estabelecer processo de melhoria contínua - 30% - (Agosto/2026)_x000a_4.3 Redução dos Custos Globais em 5% – 40% (Dezembro/26)"/>
        <s v="Marcos de acompanhamento_x000a__x000a_Execução do projeto dentro do orçamento aprovado DEZ/26_x000a_100% dos usuários ativos migrados do Office 2016 para versão suportada_x000a_100% dos dispositivos compatíveis e homologados antes da migração_x000a_Zero uso de software Office fora de suporte até o final de 2026_x000a_Redução de 100% dos riscos associados a vulnerabilidades conhecidas do Office 2016_x000a_"/>
        <m/>
        <s v="Adaptação dos sistemas Comercias para garantir a entrega do Cadastro Integrado 100% (Dezembro/2026)"/>
        <s v="Marcos: _x000a_- Pré-Projeto Oracle - Piloto e Benchs da solução - 100% (Maio/26)"/>
        <s v="Marcos: _x000a_- Pré-Projeto Oracle - Análise da aderência da solução mandatórias do Comercial - 100% (Maio/26)"/>
        <s v="Marcos: _x000a_1. Padronização no módulo de faturamento concluída em Novembro/2026_x000a_1.1. Desenvolvimento e Validação de TI - 50%-Setembro_x000a_1.2. Homologação pela área usuária - 40% - Outubro_x000a_1.3. Preparação para entrada em produção - 10% - Novembro_x000a_"/>
        <s v="Marcos:_x000a_1. Homologação de novo sistema de suprimentos (Nashai), até Dezembro de 2026_x000a_   1.1. Planejamento e Contratação - 10% ( Abril )_x000a_   1.2. Homologação da solução - 90% ( Dezembro ) - a confirmar pós planejamento"/>
        <s v="Marcos:_x000a__x000a_1.Implantação do sistema LerverPro até Julho/2026_x000a_   1.1. Viabilizar acompanhamento do Orçamento 2026 na solução- 30% (Fevereiro)_x000a_   1.2. Viabilizar elaboração orçamento 2027 na solução - 70% (Julho)"/>
        <s v="Marcos: _x000a__x000a_- Pré-Projeto Oracle - Análise da aderência da solução as necessidades mandatórias para os processos de gestão dos serviços em campo - 100% (Maio/26)"/>
        <s v="Marcos: _x000a__x000a_1.Implantação das iniciativas até Dezembro / 2026_x000a_   1.1. Rollout GS - Configuração e Operação assistida em 3 concessões - 25%  (Julho)_x000a_   1.2. Garantir roteirização de serviços programados -  25% (Setembro)_x000a_   1.3. Automatização da emissão de Notificação e Auto de Infração - 25% (Dezembro)_x000a_   1.4. Rollout GS - Configuração e Operação assistida em mais 3 concessionárias - 25% (Dezembro)"/>
        <s v="Marcos: _x000a_- Pré-Projeto Oracle: Validação da arquitetura proposta pela Oracle - 40% - (Maio/26)   _x000a_- Assessment SAP: Participação de todos os Assessment entre SAP e GAB e validação da arquitetura proposta pela SAP - 40% - (Maio/26)_x000a_- Apresentar proposta de solução - 20% (Jul/26)"/>
        <s v="_x000a_Marcos:Meios_x000a__x000a_- Implantação dos indicadores de gestão (30%): Novembro_x000a_- Diagnóstico da maturidade atual frente as boas práticas de mercado (30%): Novembro_x000a_- Definir maturidade alvo e plano de ação (40%): Novembro"/>
        <s v="Meio: _x000a__x000a_- Estabelecer plano de ação para adequar as APIs de maior relevância criadas ou alteradas com data de criação até 31/Julho  50% (Setembro/26)_x000a__x000a_'- 90% das apis criadas a partir do término do projeto aderentes aos padrões definidos até final de 2026; _x000a_- 90% das apis alteradas a partir do término do projeto aderentes aos padrões definidos até final de 2026; _x000a_"/>
        <s v="Redução de 5% do número de incidentes de rede pela quantidade total de usuários, em SAAL, SAAB e CAN medidos atraves do Jira/DEZ26 - 100% "/>
        <s v="Implantar, conforme orçamento da área, as iniciativas de rede das concessões/DEZ26"/>
        <s v="Atualizar e modernizar o sistema de aplicação de patches de segurança, com automação e maior cobertura do ambiente, reduzindo vulnerabilidades conhecidas, elevando o nível de proteção cibernética e garantindo um processo contínuo, eficiente e alinhado às melhores práticas de segurança./DEZ26"/>
        <s v="Capacitar 100% dos Número de capacitações de gestores de domínios e Guardião de Negócios e IA"/>
        <s v="Marcos:_x000a__x000a_Elaboração da política e procedimentos de gestão de portfólio e projetos (50%) - Maio_x000a_Implantar uma ferramenta de gestão de portfólio de TI conforme política (50%) - Setembro_x000a_"/>
        <s v="Marcos: _x000a_- Pré-Projeto Oracle: Fazer a gestão do projeto promovendo interações entre Oracle e GAB afim de garantir que os prazos sejam cumpridos - 40% - (Maio/26)   _x000a_- Assessment SAP: Fazer a gestão do projeto promovendo interações entre SAP e GAB afim de garantir que os prazos sejam cumpridos - 40% - (Maio/26)_x000a_- Acompanhar a proposta de solução a ser apresentada pelos proponentes envolvidos - 20% (Jul/26)"/>
        <s v="Marcos:_x000a__x000a_- Estar com 80% dos desenhos técnicos dos projetos mapeados no roadmap dentro do baseline. (40%) - Dezembro/2026_x000a_- Entregar 80% do roadmap de projetos aprovados 60% - Dezembro/2026"/>
        <s v="Atualizar o parque corporativo do Office 2016 do GAB e Rio+ para versões suportadas e alinhadas à estratégia corporativa, garantindo segurança, continuidade operacional, compatibilidade tecnológica e conformidade, respeitando rigorosamente o orçamento aprovado.DEZ26"/>
        <s v="Marcos: _x000a_- Pré-Projeto Oracle: Validação da arquitetura proposta pela Oracle - 80% - (Maio/26)  _x000a_- Apresentar proposta de solução - 20% (Jul/26)"/>
        <s v="Marcos:_x000a__x000a_- Implantação dos indicadores de gestão (30%): Agosto_x000a_- Diagnóstico da maturidade atual frente as boas práticas de mercado (30%): Agosto_x000a_- Definir maturidade alvo e plano de ação (40%): Agosto_x000a_"/>
        <s v="_x000a_Marcos:_x000a__x000a_- Implantar a solução (40%): Julho_x000a_- Estabelecer procedimento de governança para criação de novas API's (20%): Agosto_x000a_- Garantir a governança de API's criadas a partir de 2026 (40%): Setembro_x000a__x000a_'- 90% das apis criadas a partir do término do projeto aderentes aos padrões definidos até final de 2026; _x000a_- 90% das apis alteradas a partir do término do projeto aderentes aos padrões definidos até final de 2026; _x000a_- Levantar a qtd de integrações via APIs (métodos) fora do padrão e definir um Plano de Ação para alcançar 20% até o final de 2026;_x000a__x000a_\\ preencher com ganhos tangíveis e intangíveis _x000a__x000a_"/>
        <s v="Marcos:_x000a__x000a_Concluir mapas de Operações, Sustentabilidade, RH (40%): Junho_x000a_Concluir mapas do Jurídico, Inovação, Compliance, Comunicação (30%): Outubro_x000a_Concluir mapas de Engenharia, Automação, Planejamento e TI (30%): Dezembro_x000a__x000a_áreas: _x000a_(1) Operações_x000a_(2) Sustentabilidade_x000a_(3) RH_x000a_(4) Juridico_x000a_(5) Inovaçao_x000a_(6) Compliance_x000a_(7) Comunicação_x000a_(8) Engenharia_x000a_(9) Automaçao_x000a_(10) Planejamento Financeiro _x000a_(11) TI"/>
        <s v="_x000a_Marcos:_x000a__x000a_- Definição dos perfis de &quot;gestor de domínio&quot;, &quot;guardião de negócio&quot; na área de negócio (15%) -  (Abril/2026)_x000a_- Realizar os treinamentos de Gestor de Domínio e Guardião de Negócio (UniÁguas) (15%) - (Maio/2026)_x000a_- Definição dos indicadores prioritários alinhados ao orçamento e a capacidade de TI para entrega (30%) - (Abril/2026)_x000a_- Entregar 100% dos projetos aprovados conforme abaixo: [(2,86%) * 14 projetos] = 40% (Dezembro/2026)_x000a_  - 14 projetos para a Diretoria de Comercial_x000a_"/>
        <s v="Marcos:_x000a__x000a_- Definição dos perfis de &quot;gestor de domínio&quot;, &quot;guardião de negócio&quot; nas áreas de negócio (15%) -  (Abril/2026)_x000a_- Realizar os treinamentos de Gestor de Domínio e Guardião de Negócio (UniÁguas) (15%) -(Maio/2026)_x000a_- Definição dos indicadores prioritários alinhados ao orçamento e a capacidade de TI para entrega (30%) - (Abril/2026)_x000a_- Entregar 100% dos projetos aprovados conforme abaixo: [(2,22%)*18 projetos] = 40% (Dezembro/2026)_x000a_  - 18 projetos para a Diretoria de Operações"/>
        <s v="_x000a_Marcos:_x000a__x000a_- Definição dos perfis de &quot;gestor de domínio&quot;, &quot;guardião de negócio&quot; na área de negócio (15%) -  (Abril/2026)_x000a_- Definição dos indicadores prioritários alinhados ao orçamento e a capacidade de TI para entrega (30%) - (Abril/2026)_x000a_- Realizar os treinamentos de Gestor de Domínio e Guardião de Negócio (UniÁguas) (15%) - (Maio/2026)_x000a_- Entregar 100% dos projetos aprovados conforme abaixo: [(2,86%) * 14 projetos] = 40% (Dezembro/2026)_x000a_  - 14 projetos para a Diretoria de Comercial_x000a_" u="1"/>
        <s v="Marcos: _x000a__x000a_1.Implantação das iniciativas até Dezembro / 2026_x000a_   1.1. Garantir roteirização de serviços programados -  25% (Setembro)_x000a_   1.2. Rollout GS - Configuração e Operação assistida em 3 concessões - 25%  (Julho)_x000a_   1.3. Automatização da emissão de Notificação e Auto de Infração - 25% (Dezembro)_x000a_   1.4. Rollout GS - Configuração e Operação assistida em mais 3 concessionárias - 25% (Dezembro)" u="1"/>
        <s v="Marcos:_x000a__x000a_- Definição dos perfis de &quot;gestor de domínio&quot;, &quot;guardião de negócio&quot; nas áreas de negócio (15%) -  (Abril/2026)_x000a_- Definição dos indicadores prioritários alinhados ao orçamento e a capacidade de TI para entrega (30%) - (Abril/2026)_x000a_- Realizar os treinamentos de Gestor de Domínio e Guardião de Negócio (UniÁguas) (15%) -(Maio/2026)_x000a_- Entregar 100% dos projetos aprovados conforme abaixo: [(2,22%)*18 projetos] = 40% (Dezembro/2026)_x000a_  - 18 projetos para a Diretoria de Operações" u="1"/>
      </sharedItems>
    </cacheField>
    <cacheField name="Responsável" numFmtId="0">
      <sharedItems count="26">
        <s v="Isadora Viceconti Goulart  "/>
        <s v="Kellen Bridi"/>
        <s v="Felipe Nobre"/>
        <s v="Luiza Rosalba"/>
        <s v="Rodrigo Maia"/>
        <s v="Cristiane Sobral"/>
        <s v="Marcelo Olaso"/>
        <s v="Camila Rodrigues"/>
        <s v="Simone Peralta"/>
        <s v="Ana Pacheco"/>
        <s v="Cintia Soares"/>
        <s v="Marcela Teixeira"/>
        <s v="Pedro Negrini"/>
        <s v="Marcelo Eyer"/>
        <s v="Adilson Campos"/>
        <s v="Leonardo Guimaraes"/>
        <s v="Mauricio Alves"/>
        <s v="Carla Nascimento"/>
        <s v="Jose Galasjo"/>
        <s v="Thiago Ferreira"/>
        <s v="Juliano Rodrigues"/>
        <s v="Diego Tancler"/>
        <s v="Marcus Nunes"/>
        <s v="Maria Fernanda Assunção"/>
        <s v="Luciana Reis"/>
        <s v="Nelson Ricardo da Silva Carvalho"/>
      </sharedItems>
    </cacheField>
    <cacheField name="Status" numFmtId="0">
      <sharedItems count="1">
        <s v="J"/>
      </sharedItems>
    </cacheField>
    <cacheField name="Mês" numFmtId="164">
      <sharedItems containsSemiMixedTypes="0" containsNonDate="0" containsDate="1" containsString="0" minDate="2026-01-01T00:00:00" maxDate="2026-12-02T00:00:00" count="12">
        <d v="2026-01-01T00:00:00"/>
        <d v="2026-02-01T00:00:00"/>
        <d v="2026-03-01T00:00:00"/>
        <d v="2026-04-01T00:00:00"/>
        <d v="2026-05-01T00:00:00"/>
        <d v="2026-06-01T00:00:00"/>
        <d v="2026-07-01T00:00:00"/>
        <d v="2026-08-01T00:00:00"/>
        <d v="2026-09-01T00:00:00"/>
        <d v="2026-10-01T00:00:00"/>
        <d v="2026-11-01T00:00:00"/>
        <d v="2026-12-01T00:00:00"/>
      </sharedItems>
      <fieldGroup par="11" base="7">
        <rangePr groupBy="days" startDate="2026-01-01T00:00:00" endDate="2026-12-02T00:00:00"/>
        <groupItems count="368">
          <s v="&lt;01/01/2026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02/12/2026"/>
        </groupItems>
      </fieldGroup>
    </cacheField>
    <cacheField name="Meta" numFmtId="165">
      <sharedItems containsString="0" containsBlank="1" containsNumber="1" minValue="0.1" maxValue="1"/>
    </cacheField>
    <cacheField name="Realizado" numFmtId="165">
      <sharedItems containsSemiMixedTypes="0" containsString="0" containsNumber="1" minValue="0" maxValue="0.5"/>
    </cacheField>
    <cacheField name="Acumulado" numFmtId="165">
      <sharedItems containsSemiMixedTypes="0" containsString="0" containsNumber="1" minValue="0" maxValue="0.5"/>
    </cacheField>
    <cacheField name="Meses" numFmtId="0" databaseField="0">
      <fieldGroup base="7">
        <rangePr groupBy="months" startDate="2026-01-01T00:00:00" endDate="2026-12-02T00:00:00"/>
        <groupItems count="14">
          <s v="&lt;01/01/2026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02/12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36">
  <r>
    <x v="0"/>
    <s v="Projeto"/>
    <s v="CorporativoIntegração de Informações das áreas ao DW - Contabilidade"/>
    <x v="0"/>
    <x v="0"/>
    <x v="0"/>
    <x v="0"/>
    <x v="0"/>
    <m/>
    <n v="0"/>
    <n v="0"/>
  </r>
  <r>
    <x v="0"/>
    <s v="Projeto"/>
    <s v="CorporativoIntegração de Informações das áreas ao DW - Contabilidade"/>
    <x v="0"/>
    <x v="0"/>
    <x v="0"/>
    <x v="0"/>
    <x v="1"/>
    <m/>
    <n v="0"/>
    <n v="0"/>
  </r>
  <r>
    <x v="0"/>
    <s v="Projeto"/>
    <s v="CorporativoIntegração de Informações das áreas ao DW - Contabilidade"/>
    <x v="0"/>
    <x v="0"/>
    <x v="0"/>
    <x v="0"/>
    <x v="2"/>
    <m/>
    <n v="0"/>
    <n v="0"/>
  </r>
  <r>
    <x v="0"/>
    <s v="Projeto"/>
    <s v="CorporativoIntegração de Informações das áreas ao DW - Contabilidade"/>
    <x v="0"/>
    <x v="0"/>
    <x v="0"/>
    <x v="0"/>
    <x v="3"/>
    <n v="0.15"/>
    <n v="0.15"/>
    <n v="0.15"/>
  </r>
  <r>
    <x v="0"/>
    <s v="Projeto"/>
    <s v="CorporativoIntegração de Informações das áreas ao DW - Contabilidade"/>
    <x v="0"/>
    <x v="0"/>
    <x v="0"/>
    <x v="0"/>
    <x v="4"/>
    <n v="0.15"/>
    <n v="0"/>
    <n v="0.15"/>
  </r>
  <r>
    <x v="0"/>
    <s v="Projeto"/>
    <s v="CorporativoIntegração de Informações das áreas ao DW - Contabilidade"/>
    <x v="0"/>
    <x v="0"/>
    <x v="0"/>
    <x v="0"/>
    <x v="5"/>
    <n v="0.3"/>
    <n v="0"/>
    <n v="0.15"/>
  </r>
  <r>
    <x v="0"/>
    <s v="Projeto"/>
    <s v="CorporativoIntegração de Informações das áreas ao DW - Contabilidade"/>
    <x v="0"/>
    <x v="0"/>
    <x v="0"/>
    <x v="0"/>
    <x v="6"/>
    <m/>
    <n v="0"/>
    <n v="0.15"/>
  </r>
  <r>
    <x v="0"/>
    <s v="Projeto"/>
    <s v="CorporativoIntegração de Informações das áreas ao DW - Contabilidade"/>
    <x v="0"/>
    <x v="0"/>
    <x v="0"/>
    <x v="0"/>
    <x v="7"/>
    <m/>
    <n v="0"/>
    <n v="0.15"/>
  </r>
  <r>
    <x v="0"/>
    <s v="Projeto"/>
    <s v="CorporativoIntegração de Informações das áreas ao DW - Contabilidade"/>
    <x v="0"/>
    <x v="0"/>
    <x v="0"/>
    <x v="0"/>
    <x v="8"/>
    <m/>
    <n v="0"/>
    <n v="0.15"/>
  </r>
  <r>
    <x v="0"/>
    <s v="Projeto"/>
    <s v="CorporativoIntegração de Informações das áreas ao DW - Contabilidade"/>
    <x v="0"/>
    <x v="0"/>
    <x v="0"/>
    <x v="0"/>
    <x v="9"/>
    <m/>
    <n v="0"/>
    <n v="0.15"/>
  </r>
  <r>
    <x v="0"/>
    <s v="Projeto"/>
    <s v="CorporativoIntegração de Informações das áreas ao DW - Contabilidade"/>
    <x v="0"/>
    <x v="0"/>
    <x v="0"/>
    <x v="0"/>
    <x v="10"/>
    <m/>
    <n v="0"/>
    <n v="0.15"/>
  </r>
  <r>
    <x v="0"/>
    <s v="Projeto"/>
    <s v="CorporativoIntegração de Informações das áreas ao DW - Contabilidade"/>
    <x v="0"/>
    <x v="0"/>
    <x v="0"/>
    <x v="0"/>
    <x v="11"/>
    <n v="0.4"/>
    <n v="0"/>
    <n v="0.15"/>
  </r>
  <r>
    <x v="1"/>
    <s v="Projeto"/>
    <s v="CorporativoIntegração de Informações das áreas ao DW - Superintendência de Gestão e Orçamento"/>
    <x v="1"/>
    <x v="1"/>
    <x v="1"/>
    <x v="0"/>
    <x v="0"/>
    <m/>
    <n v="0"/>
    <n v="0"/>
  </r>
  <r>
    <x v="1"/>
    <s v="Projeto"/>
    <s v="CorporativoIntegração de Informações das áreas ao DW - Superintendência de Gestão e Orçamento"/>
    <x v="1"/>
    <x v="1"/>
    <x v="1"/>
    <x v="0"/>
    <x v="1"/>
    <m/>
    <n v="0"/>
    <n v="0"/>
  </r>
  <r>
    <x v="1"/>
    <s v="Projeto"/>
    <s v="CorporativoIntegração de Informações das áreas ao DW - Superintendência de Gestão e Orçamento"/>
    <x v="1"/>
    <x v="1"/>
    <x v="1"/>
    <x v="0"/>
    <x v="2"/>
    <m/>
    <n v="0"/>
    <n v="0"/>
  </r>
  <r>
    <x v="1"/>
    <s v="Projeto"/>
    <s v="CorporativoIntegração de Informações das áreas ao DW - Superintendência de Gestão e Orçamento"/>
    <x v="1"/>
    <x v="1"/>
    <x v="1"/>
    <x v="0"/>
    <x v="3"/>
    <n v="0.5"/>
    <n v="0.5"/>
    <n v="0.5"/>
  </r>
  <r>
    <x v="1"/>
    <s v="Projeto"/>
    <s v="CorporativoIntegração de Informações das áreas ao DW - Superintendência de Gestão e Orçamento"/>
    <x v="1"/>
    <x v="1"/>
    <x v="1"/>
    <x v="0"/>
    <x v="4"/>
    <n v="0.5"/>
    <n v="0"/>
    <n v="0.5"/>
  </r>
  <r>
    <x v="1"/>
    <s v="Projeto"/>
    <s v="CorporativoIntegração de Informações das áreas ao DW - Superintendência de Gestão e Orçamento"/>
    <x v="1"/>
    <x v="1"/>
    <x v="1"/>
    <x v="0"/>
    <x v="5"/>
    <m/>
    <n v="0"/>
    <n v="0.5"/>
  </r>
  <r>
    <x v="1"/>
    <s v="Projeto"/>
    <s v="CorporativoIntegração de Informações das áreas ao DW - Superintendência de Gestão e Orçamento"/>
    <x v="1"/>
    <x v="1"/>
    <x v="1"/>
    <x v="0"/>
    <x v="6"/>
    <m/>
    <n v="0"/>
    <n v="0.5"/>
  </r>
  <r>
    <x v="1"/>
    <s v="Projeto"/>
    <s v="CorporativoIntegração de Informações das áreas ao DW - Superintendência de Gestão e Orçamento"/>
    <x v="1"/>
    <x v="1"/>
    <x v="1"/>
    <x v="0"/>
    <x v="7"/>
    <m/>
    <n v="0"/>
    <n v="0.5"/>
  </r>
  <r>
    <x v="1"/>
    <s v="Projeto"/>
    <s v="CorporativoIntegração de Informações das áreas ao DW - Superintendência de Gestão e Orçamento"/>
    <x v="1"/>
    <x v="1"/>
    <x v="1"/>
    <x v="0"/>
    <x v="8"/>
    <m/>
    <n v="0"/>
    <n v="0.5"/>
  </r>
  <r>
    <x v="1"/>
    <s v="Projeto"/>
    <s v="CorporativoIntegração de Informações das áreas ao DW - Superintendência de Gestão e Orçamento"/>
    <x v="1"/>
    <x v="1"/>
    <x v="1"/>
    <x v="0"/>
    <x v="9"/>
    <m/>
    <n v="0"/>
    <n v="0.5"/>
  </r>
  <r>
    <x v="1"/>
    <s v="Projeto"/>
    <s v="CorporativoIntegração de Informações das áreas ao DW - Superintendência de Gestão e Orçamento"/>
    <x v="1"/>
    <x v="1"/>
    <x v="1"/>
    <x v="0"/>
    <x v="10"/>
    <m/>
    <n v="0"/>
    <n v="0.5"/>
  </r>
  <r>
    <x v="1"/>
    <s v="Projeto"/>
    <s v="CorporativoIntegração de Informações das áreas ao DW - Superintendência de Gestão e Orçamento"/>
    <x v="1"/>
    <x v="1"/>
    <x v="1"/>
    <x v="0"/>
    <x v="11"/>
    <m/>
    <n v="0"/>
    <n v="0.5"/>
  </r>
  <r>
    <x v="2"/>
    <s v="Projeto"/>
    <s v="CorporativoCriação de ferramenta automatizada para coleta e extração de dados do SINISA incluindo realização de operação para calculo de indicadores"/>
    <x v="2"/>
    <x v="2"/>
    <x v="2"/>
    <x v="0"/>
    <x v="0"/>
    <m/>
    <n v="0"/>
    <n v="0"/>
  </r>
  <r>
    <x v="2"/>
    <s v="Projeto"/>
    <s v="CorporativoCriação de ferramenta automatizada para coleta e extração de dados do SINISA incluindo realização de operação para calculo de indicadores"/>
    <x v="2"/>
    <x v="2"/>
    <x v="2"/>
    <x v="0"/>
    <x v="1"/>
    <m/>
    <n v="0"/>
    <n v="0"/>
  </r>
  <r>
    <x v="2"/>
    <s v="Projeto"/>
    <s v="CorporativoCriação de ferramenta automatizada para coleta e extração de dados do SINISA incluindo realização de operação para calculo de indicadores"/>
    <x v="2"/>
    <x v="2"/>
    <x v="2"/>
    <x v="0"/>
    <x v="2"/>
    <m/>
    <n v="0"/>
    <n v="0"/>
  </r>
  <r>
    <x v="2"/>
    <s v="Projeto"/>
    <s v="CorporativoCriação de ferramenta automatizada para coleta e extração de dados do SINISA incluindo realização de operação para calculo de indicadores"/>
    <x v="2"/>
    <x v="2"/>
    <x v="2"/>
    <x v="0"/>
    <x v="3"/>
    <m/>
    <n v="0"/>
    <n v="0"/>
  </r>
  <r>
    <x v="2"/>
    <s v="Projeto"/>
    <s v="CorporativoCriação de ferramenta automatizada para coleta e extração de dados do SINISA incluindo realização de operação para calculo de indicadores"/>
    <x v="2"/>
    <x v="2"/>
    <x v="2"/>
    <x v="0"/>
    <x v="4"/>
    <m/>
    <n v="0"/>
    <n v="0"/>
  </r>
  <r>
    <x v="2"/>
    <s v="Projeto"/>
    <s v="CorporativoCriação de ferramenta automatizada para coleta e extração de dados do SINISA incluindo realização de operação para calculo de indicadores"/>
    <x v="2"/>
    <x v="2"/>
    <x v="2"/>
    <x v="0"/>
    <x v="5"/>
    <n v="0.3"/>
    <n v="0"/>
    <n v="0"/>
  </r>
  <r>
    <x v="2"/>
    <s v="Projeto"/>
    <s v="CorporativoCriação de ferramenta automatizada para coleta e extração de dados do SINISA incluindo realização de operação para calculo de indicadores"/>
    <x v="2"/>
    <x v="2"/>
    <x v="2"/>
    <x v="0"/>
    <x v="6"/>
    <m/>
    <n v="0"/>
    <n v="0"/>
  </r>
  <r>
    <x v="2"/>
    <s v="Projeto"/>
    <s v="CorporativoCriação de ferramenta automatizada para coleta e extração de dados do SINISA incluindo realização de operação para calculo de indicadores"/>
    <x v="2"/>
    <x v="2"/>
    <x v="2"/>
    <x v="0"/>
    <x v="7"/>
    <n v="0.3"/>
    <n v="0"/>
    <n v="0"/>
  </r>
  <r>
    <x v="2"/>
    <s v="Projeto"/>
    <s v="CorporativoCriação de ferramenta automatizada para coleta e extração de dados do SINISA incluindo realização de operação para calculo de indicadores"/>
    <x v="2"/>
    <x v="2"/>
    <x v="2"/>
    <x v="0"/>
    <x v="8"/>
    <m/>
    <n v="0"/>
    <n v="0"/>
  </r>
  <r>
    <x v="2"/>
    <s v="Projeto"/>
    <s v="CorporativoCriação de ferramenta automatizada para coleta e extração de dados do SINISA incluindo realização de operação para calculo de indicadores"/>
    <x v="2"/>
    <x v="2"/>
    <x v="2"/>
    <x v="0"/>
    <x v="9"/>
    <m/>
    <n v="0"/>
    <n v="0"/>
  </r>
  <r>
    <x v="2"/>
    <s v="Projeto"/>
    <s v="CorporativoCriação de ferramenta automatizada para coleta e extração de dados do SINISA incluindo realização de operação para calculo de indicadores"/>
    <x v="2"/>
    <x v="2"/>
    <x v="2"/>
    <x v="0"/>
    <x v="10"/>
    <m/>
    <n v="0"/>
    <n v="0"/>
  </r>
  <r>
    <x v="2"/>
    <s v="Projeto"/>
    <s v="CorporativoCriação de ferramenta automatizada para coleta e extração de dados do SINISA incluindo realização de operação para calculo de indicadores"/>
    <x v="2"/>
    <x v="2"/>
    <x v="2"/>
    <x v="0"/>
    <x v="11"/>
    <n v="0.4"/>
    <n v="0"/>
    <n v="0"/>
  </r>
  <r>
    <x v="3"/>
    <s v="Projeto"/>
    <s v="CorporativoIntegração das Informações do Sistema de Desdobramento de Metas no DW"/>
    <x v="3"/>
    <x v="3"/>
    <x v="3"/>
    <x v="0"/>
    <x v="0"/>
    <m/>
    <n v="0"/>
    <n v="0"/>
  </r>
  <r>
    <x v="3"/>
    <s v="Projeto"/>
    <s v="CorporativoIntegração das Informações do Sistema de Desdobramento de Metas no DW"/>
    <x v="3"/>
    <x v="3"/>
    <x v="3"/>
    <x v="0"/>
    <x v="1"/>
    <m/>
    <n v="0"/>
    <n v="0"/>
  </r>
  <r>
    <x v="3"/>
    <s v="Projeto"/>
    <s v="CorporativoIntegração das Informações do Sistema de Desdobramento de Metas no DW"/>
    <x v="3"/>
    <x v="3"/>
    <x v="3"/>
    <x v="0"/>
    <x v="2"/>
    <m/>
    <n v="0"/>
    <n v="0"/>
  </r>
  <r>
    <x v="3"/>
    <s v="Projeto"/>
    <s v="CorporativoIntegração das Informações do Sistema de Desdobramento de Metas no DW"/>
    <x v="3"/>
    <x v="3"/>
    <x v="3"/>
    <x v="0"/>
    <x v="3"/>
    <n v="0.15"/>
    <n v="0.15"/>
    <n v="0.15"/>
  </r>
  <r>
    <x v="3"/>
    <s v="Projeto"/>
    <s v="CorporativoIntegração das Informações do Sistema de Desdobramento de Metas no DW"/>
    <x v="3"/>
    <x v="3"/>
    <x v="3"/>
    <x v="0"/>
    <x v="4"/>
    <n v="0.15"/>
    <n v="0"/>
    <n v="0.15"/>
  </r>
  <r>
    <x v="3"/>
    <s v="Projeto"/>
    <s v="CorporativoIntegração das Informações do Sistema de Desdobramento de Metas no DW"/>
    <x v="3"/>
    <x v="3"/>
    <x v="3"/>
    <x v="0"/>
    <x v="5"/>
    <n v="0.3"/>
    <n v="0"/>
    <n v="0.15"/>
  </r>
  <r>
    <x v="3"/>
    <s v="Projeto"/>
    <s v="CorporativoIntegração das Informações do Sistema de Desdobramento de Metas no DW"/>
    <x v="3"/>
    <x v="3"/>
    <x v="3"/>
    <x v="0"/>
    <x v="6"/>
    <m/>
    <n v="0"/>
    <n v="0.15"/>
  </r>
  <r>
    <x v="3"/>
    <s v="Projeto"/>
    <s v="CorporativoIntegração das Informações do Sistema de Desdobramento de Metas no DW"/>
    <x v="3"/>
    <x v="3"/>
    <x v="3"/>
    <x v="0"/>
    <x v="7"/>
    <m/>
    <n v="0"/>
    <n v="0.15"/>
  </r>
  <r>
    <x v="3"/>
    <s v="Projeto"/>
    <s v="CorporativoIntegração das Informações do Sistema de Desdobramento de Metas no DW"/>
    <x v="3"/>
    <x v="3"/>
    <x v="3"/>
    <x v="0"/>
    <x v="8"/>
    <m/>
    <n v="0"/>
    <n v="0.15"/>
  </r>
  <r>
    <x v="3"/>
    <s v="Projeto"/>
    <s v="CorporativoIntegração das Informações do Sistema de Desdobramento de Metas no DW"/>
    <x v="3"/>
    <x v="3"/>
    <x v="3"/>
    <x v="0"/>
    <x v="9"/>
    <m/>
    <n v="0"/>
    <n v="0.15"/>
  </r>
  <r>
    <x v="3"/>
    <s v="Projeto"/>
    <s v="CorporativoIntegração das Informações do Sistema de Desdobramento de Metas no DW"/>
    <x v="3"/>
    <x v="3"/>
    <x v="3"/>
    <x v="0"/>
    <x v="10"/>
    <m/>
    <n v="0"/>
    <n v="0.15"/>
  </r>
  <r>
    <x v="3"/>
    <s v="Projeto"/>
    <s v="CorporativoIntegração das Informações do Sistema de Desdobramento de Metas no DW"/>
    <x v="3"/>
    <x v="3"/>
    <x v="3"/>
    <x v="0"/>
    <x v="11"/>
    <n v="0.4"/>
    <n v="0"/>
    <n v="0.15"/>
  </r>
  <r>
    <x v="4"/>
    <s v="Projeto"/>
    <s v="CorporativoIntegração das Informações do Sistema de Planjemento Financeiro no DW"/>
    <x v="4"/>
    <x v="3"/>
    <x v="3"/>
    <x v="0"/>
    <x v="0"/>
    <m/>
    <n v="0"/>
    <n v="0"/>
  </r>
  <r>
    <x v="4"/>
    <s v="Projeto"/>
    <s v="CorporativoIntegração das Informações do Sistema de Planjemento Financeiro no DW"/>
    <x v="4"/>
    <x v="3"/>
    <x v="3"/>
    <x v="0"/>
    <x v="1"/>
    <m/>
    <n v="0"/>
    <n v="0"/>
  </r>
  <r>
    <x v="4"/>
    <s v="Projeto"/>
    <s v="CorporativoIntegração das Informações do Sistema de Planjemento Financeiro no DW"/>
    <x v="4"/>
    <x v="3"/>
    <x v="3"/>
    <x v="0"/>
    <x v="2"/>
    <m/>
    <n v="0"/>
    <n v="0"/>
  </r>
  <r>
    <x v="4"/>
    <s v="Projeto"/>
    <s v="CorporativoIntegração das Informações do Sistema de Planjemento Financeiro no DW"/>
    <x v="4"/>
    <x v="3"/>
    <x v="3"/>
    <x v="0"/>
    <x v="3"/>
    <n v="0.15"/>
    <n v="0.15"/>
    <n v="0.15"/>
  </r>
  <r>
    <x v="4"/>
    <s v="Projeto"/>
    <s v="CorporativoIntegração das Informações do Sistema de Planjemento Financeiro no DW"/>
    <x v="4"/>
    <x v="3"/>
    <x v="3"/>
    <x v="0"/>
    <x v="4"/>
    <n v="0.15"/>
    <n v="0"/>
    <n v="0.15"/>
  </r>
  <r>
    <x v="4"/>
    <s v="Projeto"/>
    <s v="CorporativoIntegração das Informações do Sistema de Planjemento Financeiro no DW"/>
    <x v="4"/>
    <x v="3"/>
    <x v="3"/>
    <x v="0"/>
    <x v="5"/>
    <n v="0.3"/>
    <n v="0"/>
    <n v="0.15"/>
  </r>
  <r>
    <x v="4"/>
    <s v="Projeto"/>
    <s v="CorporativoIntegração das Informações do Sistema de Planjemento Financeiro no DW"/>
    <x v="4"/>
    <x v="3"/>
    <x v="3"/>
    <x v="0"/>
    <x v="6"/>
    <m/>
    <n v="0"/>
    <n v="0.15"/>
  </r>
  <r>
    <x v="4"/>
    <s v="Projeto"/>
    <s v="CorporativoIntegração das Informações do Sistema de Planjemento Financeiro no DW"/>
    <x v="4"/>
    <x v="3"/>
    <x v="3"/>
    <x v="0"/>
    <x v="7"/>
    <m/>
    <n v="0"/>
    <n v="0.15"/>
  </r>
  <r>
    <x v="4"/>
    <s v="Projeto"/>
    <s v="CorporativoIntegração das Informações do Sistema de Planjemento Financeiro no DW"/>
    <x v="4"/>
    <x v="3"/>
    <x v="3"/>
    <x v="0"/>
    <x v="8"/>
    <m/>
    <n v="0"/>
    <n v="0.15"/>
  </r>
  <r>
    <x v="4"/>
    <s v="Projeto"/>
    <s v="CorporativoIntegração das Informações do Sistema de Planjemento Financeiro no DW"/>
    <x v="4"/>
    <x v="3"/>
    <x v="3"/>
    <x v="0"/>
    <x v="9"/>
    <m/>
    <n v="0"/>
    <n v="0.15"/>
  </r>
  <r>
    <x v="4"/>
    <s v="Projeto"/>
    <s v="CorporativoIntegração das Informações do Sistema de Planjemento Financeiro no DW"/>
    <x v="4"/>
    <x v="3"/>
    <x v="3"/>
    <x v="0"/>
    <x v="10"/>
    <m/>
    <n v="0"/>
    <n v="0.15"/>
  </r>
  <r>
    <x v="4"/>
    <s v="Projeto"/>
    <s v="CorporativoIntegração das Informações do Sistema de Planjemento Financeiro no DW"/>
    <x v="4"/>
    <x v="3"/>
    <x v="3"/>
    <x v="0"/>
    <x v="11"/>
    <n v="0.4"/>
    <n v="0"/>
    <n v="0.15"/>
  </r>
  <r>
    <x v="5"/>
    <s v="Projeto"/>
    <s v="CorporativoProposta de solução de substituição do Inova - Consolidado"/>
    <x v="5"/>
    <x v="4"/>
    <x v="4"/>
    <x v="0"/>
    <x v="0"/>
    <m/>
    <n v="0"/>
    <n v="0"/>
  </r>
  <r>
    <x v="5"/>
    <s v="Projeto"/>
    <s v="CorporativoProposta de solução de substituição do Inova - Consolidado"/>
    <x v="5"/>
    <x v="4"/>
    <x v="4"/>
    <x v="0"/>
    <x v="1"/>
    <m/>
    <n v="0"/>
    <n v="0"/>
  </r>
  <r>
    <x v="5"/>
    <s v="Projeto"/>
    <s v="CorporativoProposta de solução de substituição do Inova - Consolidado"/>
    <x v="5"/>
    <x v="4"/>
    <x v="4"/>
    <x v="0"/>
    <x v="2"/>
    <m/>
    <n v="0"/>
    <n v="0"/>
  </r>
  <r>
    <x v="5"/>
    <s v="Projeto"/>
    <s v="CorporativoProposta de solução de substituição do Inova - Consolidado"/>
    <x v="5"/>
    <x v="4"/>
    <x v="4"/>
    <x v="0"/>
    <x v="3"/>
    <m/>
    <n v="0"/>
    <n v="0"/>
  </r>
  <r>
    <x v="5"/>
    <s v="Projeto"/>
    <s v="CorporativoProposta de solução de substituição do Inova - Consolidado"/>
    <x v="5"/>
    <x v="4"/>
    <x v="4"/>
    <x v="0"/>
    <x v="4"/>
    <n v="0.8"/>
    <n v="0"/>
    <n v="0"/>
  </r>
  <r>
    <x v="5"/>
    <s v="Projeto"/>
    <s v="CorporativoProposta de solução de substituição do Inova - Consolidado"/>
    <x v="5"/>
    <x v="4"/>
    <x v="4"/>
    <x v="0"/>
    <x v="5"/>
    <m/>
    <n v="0"/>
    <n v="0"/>
  </r>
  <r>
    <x v="5"/>
    <s v="Projeto"/>
    <s v="CorporativoProposta de solução de substituição do Inova - Consolidado"/>
    <x v="5"/>
    <x v="4"/>
    <x v="4"/>
    <x v="0"/>
    <x v="6"/>
    <n v="0.2"/>
    <n v="0"/>
    <n v="0"/>
  </r>
  <r>
    <x v="5"/>
    <s v="Projeto"/>
    <s v="CorporativoProposta de solução de substituição do Inova - Consolidado"/>
    <x v="5"/>
    <x v="4"/>
    <x v="4"/>
    <x v="0"/>
    <x v="7"/>
    <m/>
    <n v="0"/>
    <n v="0"/>
  </r>
  <r>
    <x v="5"/>
    <s v="Projeto"/>
    <s v="CorporativoProposta de solução de substituição do Inova - Consolidado"/>
    <x v="5"/>
    <x v="4"/>
    <x v="4"/>
    <x v="0"/>
    <x v="8"/>
    <m/>
    <n v="0"/>
    <n v="0"/>
  </r>
  <r>
    <x v="5"/>
    <s v="Projeto"/>
    <s v="CorporativoProposta de solução de substituição do Inova - Consolidado"/>
    <x v="5"/>
    <x v="4"/>
    <x v="4"/>
    <x v="0"/>
    <x v="9"/>
    <m/>
    <n v="0"/>
    <n v="0"/>
  </r>
  <r>
    <x v="5"/>
    <s v="Projeto"/>
    <s v="CorporativoProposta de solução de substituição do Inova - Consolidado"/>
    <x v="5"/>
    <x v="4"/>
    <x v="4"/>
    <x v="0"/>
    <x v="10"/>
    <m/>
    <n v="0"/>
    <n v="0"/>
  </r>
  <r>
    <x v="5"/>
    <s v="Projeto"/>
    <s v="CorporativoProposta de solução de substituição do Inova - Consolidado"/>
    <x v="5"/>
    <x v="4"/>
    <x v="4"/>
    <x v="0"/>
    <x v="11"/>
    <m/>
    <n v="0"/>
    <n v="0"/>
  </r>
  <r>
    <x v="6"/>
    <s v="Projeto"/>
    <s v="CorporativoIntegração de Informações das áreas ao DW - Consolidado"/>
    <x v="6"/>
    <x v="5"/>
    <x v="4"/>
    <x v="0"/>
    <x v="0"/>
    <m/>
    <n v="0"/>
    <n v="0"/>
  </r>
  <r>
    <x v="6"/>
    <s v="Projeto"/>
    <s v="CorporativoIntegração de Informações das áreas ao DW - Consolidado"/>
    <x v="6"/>
    <x v="5"/>
    <x v="4"/>
    <x v="0"/>
    <x v="1"/>
    <m/>
    <n v="0"/>
    <n v="0"/>
  </r>
  <r>
    <x v="6"/>
    <s v="Projeto"/>
    <s v="CorporativoIntegração de Informações das áreas ao DW - Consolidado"/>
    <x v="6"/>
    <x v="5"/>
    <x v="4"/>
    <x v="0"/>
    <x v="2"/>
    <m/>
    <n v="0"/>
    <n v="0"/>
  </r>
  <r>
    <x v="6"/>
    <s v="Projeto"/>
    <s v="CorporativoIntegração de Informações das áreas ao DW - Consolidado"/>
    <x v="6"/>
    <x v="5"/>
    <x v="4"/>
    <x v="0"/>
    <x v="3"/>
    <n v="0.15"/>
    <n v="0.15"/>
    <n v="0.15"/>
  </r>
  <r>
    <x v="6"/>
    <s v="Projeto"/>
    <s v="CorporativoIntegração de Informações das áreas ao DW - Consolidado"/>
    <x v="6"/>
    <x v="5"/>
    <x v="4"/>
    <x v="0"/>
    <x v="4"/>
    <n v="0.45"/>
    <n v="0"/>
    <n v="0.15"/>
  </r>
  <r>
    <x v="6"/>
    <s v="Projeto"/>
    <s v="CorporativoIntegração de Informações das áreas ao DW - Consolidado"/>
    <x v="6"/>
    <x v="5"/>
    <x v="4"/>
    <x v="0"/>
    <x v="5"/>
    <m/>
    <n v="0"/>
    <n v="0.15"/>
  </r>
  <r>
    <x v="6"/>
    <s v="Projeto"/>
    <s v="CorporativoIntegração de Informações das áreas ao DW - Consolidado"/>
    <x v="6"/>
    <x v="5"/>
    <x v="4"/>
    <x v="0"/>
    <x v="6"/>
    <m/>
    <n v="0"/>
    <n v="0.15"/>
  </r>
  <r>
    <x v="6"/>
    <s v="Projeto"/>
    <s v="CorporativoIntegração de Informações das áreas ao DW - Consolidado"/>
    <x v="6"/>
    <x v="5"/>
    <x v="4"/>
    <x v="0"/>
    <x v="7"/>
    <m/>
    <n v="0"/>
    <n v="0.15"/>
  </r>
  <r>
    <x v="6"/>
    <s v="Projeto"/>
    <s v="CorporativoIntegração de Informações das áreas ao DW - Consolidado"/>
    <x v="6"/>
    <x v="5"/>
    <x v="4"/>
    <x v="0"/>
    <x v="8"/>
    <m/>
    <n v="0"/>
    <n v="0.15"/>
  </r>
  <r>
    <x v="6"/>
    <s v="Projeto"/>
    <s v="CorporativoIntegração de Informações das áreas ao DW - Consolidado"/>
    <x v="6"/>
    <x v="5"/>
    <x v="4"/>
    <x v="0"/>
    <x v="9"/>
    <m/>
    <n v="0"/>
    <n v="0.15"/>
  </r>
  <r>
    <x v="6"/>
    <s v="Projeto"/>
    <s v="CorporativoIntegração de Informações das áreas ao DW - Consolidado"/>
    <x v="6"/>
    <x v="5"/>
    <x v="4"/>
    <x v="0"/>
    <x v="10"/>
    <m/>
    <n v="0"/>
    <n v="0.15"/>
  </r>
  <r>
    <x v="6"/>
    <s v="Projeto"/>
    <s v="CorporativoIntegração de Informações das áreas ao DW - Consolidado"/>
    <x v="6"/>
    <x v="5"/>
    <x v="4"/>
    <x v="0"/>
    <x v="11"/>
    <n v="0.4"/>
    <n v="0"/>
    <n v="0.15"/>
  </r>
  <r>
    <x v="7"/>
    <s v="Projeto"/>
    <s v="CorporativoImplantação do Gestão de Serviços Unificado (GSC, GSO e GP) - TI"/>
    <x v="7"/>
    <x v="6"/>
    <x v="5"/>
    <x v="0"/>
    <x v="0"/>
    <m/>
    <n v="0"/>
    <n v="0"/>
  </r>
  <r>
    <x v="7"/>
    <s v="Projeto"/>
    <s v="CorporativoImplantação do Gestão de Serviços Unificado (GSC, GSO e GP) - TI"/>
    <x v="7"/>
    <x v="6"/>
    <x v="5"/>
    <x v="0"/>
    <x v="1"/>
    <m/>
    <n v="0"/>
    <n v="0"/>
  </r>
  <r>
    <x v="7"/>
    <s v="Projeto"/>
    <s v="CorporativoImplantação do Gestão de Serviços Unificado (GSC, GSO e GP) - TI"/>
    <x v="7"/>
    <x v="6"/>
    <x v="5"/>
    <x v="0"/>
    <x v="2"/>
    <m/>
    <n v="0"/>
    <n v="0"/>
  </r>
  <r>
    <x v="7"/>
    <s v="Projeto"/>
    <s v="CorporativoImplantação do Gestão de Serviços Unificado (GSC, GSO e GP) - TI"/>
    <x v="7"/>
    <x v="6"/>
    <x v="5"/>
    <x v="0"/>
    <x v="3"/>
    <m/>
    <n v="0"/>
    <n v="0"/>
  </r>
  <r>
    <x v="7"/>
    <s v="Projeto"/>
    <s v="CorporativoImplantação do Gestão de Serviços Unificado (GSC, GSO e GP) - TI"/>
    <x v="7"/>
    <x v="6"/>
    <x v="5"/>
    <x v="0"/>
    <x v="4"/>
    <m/>
    <n v="0"/>
    <n v="0"/>
  </r>
  <r>
    <x v="7"/>
    <s v="Projeto"/>
    <s v="CorporativoImplantação do Gestão de Serviços Unificado (GSC, GSO e GP) - TI"/>
    <x v="7"/>
    <x v="6"/>
    <x v="5"/>
    <x v="0"/>
    <x v="5"/>
    <m/>
    <n v="0"/>
    <n v="0"/>
  </r>
  <r>
    <x v="7"/>
    <s v="Projeto"/>
    <s v="CorporativoImplantação do Gestão de Serviços Unificado (GSC, GSO e GP) - TI"/>
    <x v="7"/>
    <x v="6"/>
    <x v="5"/>
    <x v="0"/>
    <x v="6"/>
    <m/>
    <n v="0"/>
    <n v="0"/>
  </r>
  <r>
    <x v="7"/>
    <s v="Projeto"/>
    <s v="CorporativoImplantação do Gestão de Serviços Unificado (GSC, GSO e GP) - TI"/>
    <x v="7"/>
    <x v="6"/>
    <x v="5"/>
    <x v="0"/>
    <x v="7"/>
    <m/>
    <n v="0"/>
    <n v="0"/>
  </r>
  <r>
    <x v="7"/>
    <s v="Projeto"/>
    <s v="CorporativoImplantação do Gestão de Serviços Unificado (GSC, GSO e GP) - TI"/>
    <x v="7"/>
    <x v="6"/>
    <x v="5"/>
    <x v="0"/>
    <x v="8"/>
    <m/>
    <n v="0"/>
    <n v="0"/>
  </r>
  <r>
    <x v="7"/>
    <s v="Projeto"/>
    <s v="CorporativoImplantação do Gestão de Serviços Unificado (GSC, GSO e GP) - TI"/>
    <x v="7"/>
    <x v="6"/>
    <x v="5"/>
    <x v="0"/>
    <x v="9"/>
    <m/>
    <n v="0"/>
    <n v="0"/>
  </r>
  <r>
    <x v="7"/>
    <s v="Projeto"/>
    <s v="CorporativoImplantação do Gestão de Serviços Unificado (GSC, GSO e GP) - TI"/>
    <x v="7"/>
    <x v="6"/>
    <x v="5"/>
    <x v="0"/>
    <x v="10"/>
    <m/>
    <n v="0"/>
    <n v="0"/>
  </r>
  <r>
    <x v="7"/>
    <s v="Projeto"/>
    <s v="CorporativoImplantação do Gestão de Serviços Unificado (GSC, GSO e GP) - TI"/>
    <x v="7"/>
    <x v="6"/>
    <x v="5"/>
    <x v="0"/>
    <x v="11"/>
    <n v="1"/>
    <n v="0"/>
    <n v="0"/>
  </r>
  <r>
    <x v="8"/>
    <s v="Projeto"/>
    <s v="CorporativoCumprimento de marcos das Iniciativas Prioritárias"/>
    <x v="8"/>
    <x v="7"/>
    <x v="5"/>
    <x v="0"/>
    <x v="0"/>
    <m/>
    <n v="0"/>
    <n v="0"/>
  </r>
  <r>
    <x v="8"/>
    <s v="Projeto"/>
    <s v="CorporativoCumprimento de marcos das Iniciativas Prioritárias"/>
    <x v="8"/>
    <x v="7"/>
    <x v="5"/>
    <x v="0"/>
    <x v="1"/>
    <m/>
    <n v="0"/>
    <n v="0"/>
  </r>
  <r>
    <x v="8"/>
    <s v="Projeto"/>
    <s v="CorporativoCumprimento de marcos das Iniciativas Prioritárias"/>
    <x v="8"/>
    <x v="7"/>
    <x v="5"/>
    <x v="0"/>
    <x v="2"/>
    <m/>
    <n v="0"/>
    <n v="0"/>
  </r>
  <r>
    <x v="8"/>
    <s v="Projeto"/>
    <s v="CorporativoCumprimento de marcos das Iniciativas Prioritárias"/>
    <x v="8"/>
    <x v="7"/>
    <x v="5"/>
    <x v="0"/>
    <x v="3"/>
    <m/>
    <n v="0"/>
    <n v="0"/>
  </r>
  <r>
    <x v="8"/>
    <s v="Projeto"/>
    <s v="CorporativoCumprimento de marcos das Iniciativas Prioritárias"/>
    <x v="8"/>
    <x v="7"/>
    <x v="5"/>
    <x v="0"/>
    <x v="4"/>
    <m/>
    <n v="0"/>
    <n v="0"/>
  </r>
  <r>
    <x v="8"/>
    <s v="Projeto"/>
    <s v="CorporativoCumprimento de marcos das Iniciativas Prioritárias"/>
    <x v="8"/>
    <x v="7"/>
    <x v="5"/>
    <x v="0"/>
    <x v="5"/>
    <m/>
    <n v="0"/>
    <n v="0"/>
  </r>
  <r>
    <x v="8"/>
    <s v="Projeto"/>
    <s v="CorporativoCumprimento de marcos das Iniciativas Prioritárias"/>
    <x v="8"/>
    <x v="7"/>
    <x v="5"/>
    <x v="0"/>
    <x v="6"/>
    <n v="0.3"/>
    <n v="0"/>
    <n v="0"/>
  </r>
  <r>
    <x v="8"/>
    <s v="Projeto"/>
    <s v="CorporativoCumprimento de marcos das Iniciativas Prioritárias"/>
    <x v="8"/>
    <x v="7"/>
    <x v="5"/>
    <x v="0"/>
    <x v="7"/>
    <m/>
    <n v="0"/>
    <n v="0"/>
  </r>
  <r>
    <x v="8"/>
    <s v="Projeto"/>
    <s v="CorporativoCumprimento de marcos das Iniciativas Prioritárias"/>
    <x v="8"/>
    <x v="7"/>
    <x v="5"/>
    <x v="0"/>
    <x v="8"/>
    <m/>
    <n v="0"/>
    <n v="0"/>
  </r>
  <r>
    <x v="8"/>
    <s v="Projeto"/>
    <s v="CorporativoCumprimento de marcos das Iniciativas Prioritárias"/>
    <x v="8"/>
    <x v="7"/>
    <x v="5"/>
    <x v="0"/>
    <x v="9"/>
    <m/>
    <n v="0"/>
    <n v="0"/>
  </r>
  <r>
    <x v="8"/>
    <s v="Projeto"/>
    <s v="CorporativoCumprimento de marcos das Iniciativas Prioritárias"/>
    <x v="8"/>
    <x v="7"/>
    <x v="5"/>
    <x v="0"/>
    <x v="10"/>
    <m/>
    <n v="0"/>
    <n v="0"/>
  </r>
  <r>
    <x v="8"/>
    <s v="Projeto"/>
    <s v="CorporativoCumprimento de marcos das Iniciativas Prioritárias"/>
    <x v="8"/>
    <x v="7"/>
    <x v="5"/>
    <x v="0"/>
    <x v="11"/>
    <n v="0.7"/>
    <n v="0"/>
    <n v="0"/>
  </r>
  <r>
    <x v="9"/>
    <s v="Projeto"/>
    <s v="CorporativoOtimização do custo de impressão nas concessões"/>
    <x v="9"/>
    <x v="8"/>
    <x v="6"/>
    <x v="0"/>
    <x v="0"/>
    <m/>
    <n v="0"/>
    <n v="0"/>
  </r>
  <r>
    <x v="9"/>
    <s v="Projeto"/>
    <s v="CorporativoOtimização do custo de impressão nas concessões"/>
    <x v="9"/>
    <x v="8"/>
    <x v="6"/>
    <x v="0"/>
    <x v="1"/>
    <m/>
    <n v="0"/>
    <n v="0"/>
  </r>
  <r>
    <x v="9"/>
    <s v="Projeto"/>
    <s v="CorporativoOtimização do custo de impressão nas concessões"/>
    <x v="9"/>
    <x v="8"/>
    <x v="6"/>
    <x v="0"/>
    <x v="2"/>
    <m/>
    <n v="0"/>
    <n v="0"/>
  </r>
  <r>
    <x v="9"/>
    <s v="Projeto"/>
    <s v="CorporativoOtimização do custo de impressão nas concessões"/>
    <x v="9"/>
    <x v="8"/>
    <x v="6"/>
    <x v="0"/>
    <x v="3"/>
    <m/>
    <n v="0"/>
    <n v="0"/>
  </r>
  <r>
    <x v="9"/>
    <s v="Projeto"/>
    <s v="CorporativoOtimização do custo de impressão nas concessões"/>
    <x v="9"/>
    <x v="8"/>
    <x v="6"/>
    <x v="0"/>
    <x v="4"/>
    <m/>
    <n v="0"/>
    <n v="0"/>
  </r>
  <r>
    <x v="9"/>
    <s v="Projeto"/>
    <s v="CorporativoOtimização do custo de impressão nas concessões"/>
    <x v="9"/>
    <x v="8"/>
    <x v="6"/>
    <x v="0"/>
    <x v="5"/>
    <n v="0.3"/>
    <n v="0"/>
    <n v="0"/>
  </r>
  <r>
    <x v="9"/>
    <s v="Projeto"/>
    <s v="CorporativoOtimização do custo de impressão nas concessões"/>
    <x v="9"/>
    <x v="8"/>
    <x v="6"/>
    <x v="0"/>
    <x v="6"/>
    <m/>
    <n v="0"/>
    <n v="0"/>
  </r>
  <r>
    <x v="9"/>
    <s v="Projeto"/>
    <s v="CorporativoOtimização do custo de impressão nas concessões"/>
    <x v="9"/>
    <x v="8"/>
    <x v="6"/>
    <x v="0"/>
    <x v="7"/>
    <n v="0.3"/>
    <n v="0"/>
    <n v="0"/>
  </r>
  <r>
    <x v="9"/>
    <s v="Projeto"/>
    <s v="CorporativoOtimização do custo de impressão nas concessões"/>
    <x v="9"/>
    <x v="8"/>
    <x v="6"/>
    <x v="0"/>
    <x v="8"/>
    <m/>
    <n v="0"/>
    <n v="0"/>
  </r>
  <r>
    <x v="9"/>
    <s v="Projeto"/>
    <s v="CorporativoOtimização do custo de impressão nas concessões"/>
    <x v="9"/>
    <x v="8"/>
    <x v="6"/>
    <x v="0"/>
    <x v="9"/>
    <m/>
    <n v="0"/>
    <n v="0"/>
  </r>
  <r>
    <x v="9"/>
    <s v="Projeto"/>
    <s v="CorporativoOtimização do custo de impressão nas concessões"/>
    <x v="9"/>
    <x v="8"/>
    <x v="6"/>
    <x v="0"/>
    <x v="10"/>
    <m/>
    <n v="0"/>
    <n v="0"/>
  </r>
  <r>
    <x v="9"/>
    <s v="Projeto"/>
    <s v="CorporativoOtimização do custo de impressão nas concessões"/>
    <x v="9"/>
    <x v="8"/>
    <x v="6"/>
    <x v="0"/>
    <x v="11"/>
    <n v="0.4"/>
    <n v="0"/>
    <n v="0"/>
  </r>
  <r>
    <x v="10"/>
    <s v="Projeto"/>
    <s v="CorporativoAtualização tecnológica do Office 2016 do GAB e Rio+ de acordo com o orçamento"/>
    <x v="10"/>
    <x v="9"/>
    <x v="6"/>
    <x v="0"/>
    <x v="0"/>
    <m/>
    <n v="0"/>
    <n v="0"/>
  </r>
  <r>
    <x v="10"/>
    <s v="Projeto"/>
    <s v="CorporativoAtualização tecnológica do Office 2016 do GAB e Rio+ de acordo com o orçamento"/>
    <x v="10"/>
    <x v="9"/>
    <x v="6"/>
    <x v="0"/>
    <x v="1"/>
    <m/>
    <n v="0"/>
    <n v="0"/>
  </r>
  <r>
    <x v="10"/>
    <s v="Projeto"/>
    <s v="CorporativoAtualização tecnológica do Office 2016 do GAB e Rio+ de acordo com o orçamento"/>
    <x v="10"/>
    <x v="9"/>
    <x v="6"/>
    <x v="0"/>
    <x v="2"/>
    <m/>
    <n v="0"/>
    <n v="0"/>
  </r>
  <r>
    <x v="10"/>
    <s v="Projeto"/>
    <s v="CorporativoAtualização tecnológica do Office 2016 do GAB e Rio+ de acordo com o orçamento"/>
    <x v="10"/>
    <x v="9"/>
    <x v="6"/>
    <x v="0"/>
    <x v="3"/>
    <m/>
    <n v="0"/>
    <n v="0"/>
  </r>
  <r>
    <x v="10"/>
    <s v="Projeto"/>
    <s v="CorporativoAtualização tecnológica do Office 2016 do GAB e Rio+ de acordo com o orçamento"/>
    <x v="10"/>
    <x v="9"/>
    <x v="6"/>
    <x v="0"/>
    <x v="4"/>
    <m/>
    <n v="0"/>
    <n v="0"/>
  </r>
  <r>
    <x v="10"/>
    <s v="Projeto"/>
    <s v="CorporativoAtualização tecnológica do Office 2016 do GAB e Rio+ de acordo com o orçamento"/>
    <x v="10"/>
    <x v="9"/>
    <x v="6"/>
    <x v="0"/>
    <x v="5"/>
    <m/>
    <n v="0"/>
    <n v="0"/>
  </r>
  <r>
    <x v="10"/>
    <s v="Projeto"/>
    <s v="CorporativoAtualização tecnológica do Office 2016 do GAB e Rio+ de acordo com o orçamento"/>
    <x v="10"/>
    <x v="9"/>
    <x v="6"/>
    <x v="0"/>
    <x v="6"/>
    <m/>
    <n v="0"/>
    <n v="0"/>
  </r>
  <r>
    <x v="10"/>
    <s v="Projeto"/>
    <s v="CorporativoAtualização tecnológica do Office 2016 do GAB e Rio+ de acordo com o orçamento"/>
    <x v="10"/>
    <x v="9"/>
    <x v="6"/>
    <x v="0"/>
    <x v="7"/>
    <m/>
    <n v="0"/>
    <n v="0"/>
  </r>
  <r>
    <x v="10"/>
    <s v="Projeto"/>
    <s v="CorporativoAtualização tecnológica do Office 2016 do GAB e Rio+ de acordo com o orçamento"/>
    <x v="10"/>
    <x v="9"/>
    <x v="6"/>
    <x v="0"/>
    <x v="8"/>
    <m/>
    <n v="0"/>
    <n v="0"/>
  </r>
  <r>
    <x v="10"/>
    <s v="Projeto"/>
    <s v="CorporativoAtualização tecnológica do Office 2016 do GAB e Rio+ de acordo com o orçamento"/>
    <x v="10"/>
    <x v="9"/>
    <x v="6"/>
    <x v="0"/>
    <x v="9"/>
    <m/>
    <n v="0"/>
    <n v="0"/>
  </r>
  <r>
    <x v="10"/>
    <s v="Projeto"/>
    <s v="CorporativoAtualização tecnológica do Office 2016 do GAB e Rio+ de acordo com o orçamento"/>
    <x v="10"/>
    <x v="9"/>
    <x v="6"/>
    <x v="0"/>
    <x v="10"/>
    <m/>
    <n v="0"/>
    <n v="0"/>
  </r>
  <r>
    <x v="10"/>
    <s v="Projeto"/>
    <s v="CorporativoAtualização tecnológica do Office 2016 do GAB e Rio+ de acordo com o orçamento"/>
    <x v="10"/>
    <x v="9"/>
    <x v="6"/>
    <x v="0"/>
    <x v="11"/>
    <n v="1"/>
    <n v="0"/>
    <n v="0"/>
  </r>
  <r>
    <x v="11"/>
    <s v="Suporte"/>
    <s v="CorporativoCumprimento ao SLA de Incidentes de TI (%): Sistemas do Comercial &amp; Inovação"/>
    <x v="11"/>
    <x v="10"/>
    <x v="7"/>
    <x v="0"/>
    <x v="0"/>
    <m/>
    <n v="0"/>
    <n v="0"/>
  </r>
  <r>
    <x v="11"/>
    <s v="Suporte"/>
    <s v="CorporativoCumprimento ao SLA de Incidentes de TI (%): Sistemas do Comercial &amp; Inovação"/>
    <x v="11"/>
    <x v="10"/>
    <x v="7"/>
    <x v="0"/>
    <x v="1"/>
    <m/>
    <n v="0"/>
    <n v="0"/>
  </r>
  <r>
    <x v="11"/>
    <s v="Suporte"/>
    <s v="CorporativoCumprimento ao SLA de Incidentes de TI (%): Sistemas do Comercial &amp; Inovação"/>
    <x v="11"/>
    <x v="10"/>
    <x v="7"/>
    <x v="0"/>
    <x v="2"/>
    <m/>
    <n v="0"/>
    <n v="0"/>
  </r>
  <r>
    <x v="11"/>
    <s v="Suporte"/>
    <s v="CorporativoCumprimento ao SLA de Incidentes de TI (%): Sistemas do Comercial &amp; Inovação"/>
    <x v="11"/>
    <x v="10"/>
    <x v="7"/>
    <x v="0"/>
    <x v="3"/>
    <m/>
    <n v="0"/>
    <n v="0"/>
  </r>
  <r>
    <x v="11"/>
    <s v="Suporte"/>
    <s v="CorporativoCumprimento ao SLA de Incidentes de TI (%): Sistemas do Comercial &amp; Inovação"/>
    <x v="11"/>
    <x v="10"/>
    <x v="7"/>
    <x v="0"/>
    <x v="4"/>
    <m/>
    <n v="0"/>
    <n v="0"/>
  </r>
  <r>
    <x v="11"/>
    <s v="Suporte"/>
    <s v="CorporativoCumprimento ao SLA de Incidentes de TI (%): Sistemas do Comercial &amp; Inovação"/>
    <x v="11"/>
    <x v="10"/>
    <x v="7"/>
    <x v="0"/>
    <x v="5"/>
    <m/>
    <n v="0"/>
    <n v="0"/>
  </r>
  <r>
    <x v="11"/>
    <s v="Suporte"/>
    <s v="CorporativoCumprimento ao SLA de Incidentes de TI (%): Sistemas do Comercial &amp; Inovação"/>
    <x v="11"/>
    <x v="10"/>
    <x v="7"/>
    <x v="0"/>
    <x v="6"/>
    <m/>
    <n v="0"/>
    <n v="0"/>
  </r>
  <r>
    <x v="11"/>
    <s v="Suporte"/>
    <s v="CorporativoCumprimento ao SLA de Incidentes de TI (%): Sistemas do Comercial &amp; Inovação"/>
    <x v="11"/>
    <x v="10"/>
    <x v="7"/>
    <x v="0"/>
    <x v="7"/>
    <m/>
    <n v="0"/>
    <n v="0"/>
  </r>
  <r>
    <x v="11"/>
    <s v="Suporte"/>
    <s v="CorporativoCumprimento ao SLA de Incidentes de TI (%): Sistemas do Comercial &amp; Inovação"/>
    <x v="11"/>
    <x v="10"/>
    <x v="7"/>
    <x v="0"/>
    <x v="8"/>
    <m/>
    <n v="0"/>
    <n v="0"/>
  </r>
  <r>
    <x v="11"/>
    <s v="Suporte"/>
    <s v="CorporativoCumprimento ao SLA de Incidentes de TI (%): Sistemas do Comercial &amp; Inovação"/>
    <x v="11"/>
    <x v="10"/>
    <x v="7"/>
    <x v="0"/>
    <x v="9"/>
    <m/>
    <n v="0"/>
    <n v="0"/>
  </r>
  <r>
    <x v="11"/>
    <s v="Suporte"/>
    <s v="CorporativoCumprimento ao SLA de Incidentes de TI (%): Sistemas do Comercial &amp; Inovação"/>
    <x v="11"/>
    <x v="10"/>
    <x v="7"/>
    <x v="0"/>
    <x v="10"/>
    <m/>
    <n v="0"/>
    <n v="0"/>
  </r>
  <r>
    <x v="11"/>
    <s v="Suporte"/>
    <s v="CorporativoCumprimento ao SLA de Incidentes de TI (%): Sistemas do Comercial &amp; Inovação"/>
    <x v="11"/>
    <x v="10"/>
    <x v="7"/>
    <x v="0"/>
    <x v="11"/>
    <m/>
    <n v="0"/>
    <n v="0"/>
  </r>
  <r>
    <x v="12"/>
    <s v="Projeto"/>
    <s v="CorporativoImplantação do Cadastro Integrado iNOVA e GIS - TI"/>
    <x v="12"/>
    <x v="11"/>
    <x v="7"/>
    <x v="0"/>
    <x v="0"/>
    <m/>
    <n v="0"/>
    <n v="0"/>
  </r>
  <r>
    <x v="12"/>
    <s v="Projeto"/>
    <s v="CorporativoImplantação do Cadastro Integrado iNOVA e GIS - TI"/>
    <x v="12"/>
    <x v="11"/>
    <x v="7"/>
    <x v="0"/>
    <x v="1"/>
    <m/>
    <n v="0"/>
    <n v="0"/>
  </r>
  <r>
    <x v="12"/>
    <s v="Projeto"/>
    <s v="CorporativoImplantação do Cadastro Integrado iNOVA e GIS - TI"/>
    <x v="12"/>
    <x v="11"/>
    <x v="7"/>
    <x v="0"/>
    <x v="2"/>
    <m/>
    <n v="0"/>
    <n v="0"/>
  </r>
  <r>
    <x v="12"/>
    <s v="Projeto"/>
    <s v="CorporativoImplantação do Cadastro Integrado iNOVA e GIS - TI"/>
    <x v="12"/>
    <x v="11"/>
    <x v="7"/>
    <x v="0"/>
    <x v="3"/>
    <m/>
    <n v="0"/>
    <n v="0"/>
  </r>
  <r>
    <x v="12"/>
    <s v="Projeto"/>
    <s v="CorporativoImplantação do Cadastro Integrado iNOVA e GIS - TI"/>
    <x v="12"/>
    <x v="11"/>
    <x v="7"/>
    <x v="0"/>
    <x v="4"/>
    <m/>
    <n v="0"/>
    <n v="0"/>
  </r>
  <r>
    <x v="12"/>
    <s v="Projeto"/>
    <s v="CorporativoImplantação do Cadastro Integrado iNOVA e GIS - TI"/>
    <x v="12"/>
    <x v="11"/>
    <x v="7"/>
    <x v="0"/>
    <x v="5"/>
    <m/>
    <n v="0"/>
    <n v="0"/>
  </r>
  <r>
    <x v="12"/>
    <s v="Projeto"/>
    <s v="CorporativoImplantação do Cadastro Integrado iNOVA e GIS - TI"/>
    <x v="12"/>
    <x v="11"/>
    <x v="7"/>
    <x v="0"/>
    <x v="6"/>
    <m/>
    <n v="0"/>
    <n v="0"/>
  </r>
  <r>
    <x v="12"/>
    <s v="Projeto"/>
    <s v="CorporativoImplantação do Cadastro Integrado iNOVA e GIS - TI"/>
    <x v="12"/>
    <x v="11"/>
    <x v="7"/>
    <x v="0"/>
    <x v="7"/>
    <m/>
    <n v="0"/>
    <n v="0"/>
  </r>
  <r>
    <x v="12"/>
    <s v="Projeto"/>
    <s v="CorporativoImplantação do Cadastro Integrado iNOVA e GIS - TI"/>
    <x v="12"/>
    <x v="11"/>
    <x v="7"/>
    <x v="0"/>
    <x v="8"/>
    <m/>
    <n v="0"/>
    <n v="0"/>
  </r>
  <r>
    <x v="12"/>
    <s v="Projeto"/>
    <s v="CorporativoImplantação do Cadastro Integrado iNOVA e GIS - TI"/>
    <x v="12"/>
    <x v="11"/>
    <x v="7"/>
    <x v="0"/>
    <x v="9"/>
    <m/>
    <n v="0"/>
    <n v="0"/>
  </r>
  <r>
    <x v="12"/>
    <s v="Projeto"/>
    <s v="CorporativoImplantação do Cadastro Integrado iNOVA e GIS - TI"/>
    <x v="12"/>
    <x v="11"/>
    <x v="7"/>
    <x v="0"/>
    <x v="10"/>
    <m/>
    <n v="0"/>
    <n v="0"/>
  </r>
  <r>
    <x v="12"/>
    <s v="Projeto"/>
    <s v="CorporativoImplantação do Cadastro Integrado iNOVA e GIS - TI"/>
    <x v="12"/>
    <x v="11"/>
    <x v="7"/>
    <x v="0"/>
    <x v="11"/>
    <n v="1"/>
    <n v="0"/>
    <n v="0"/>
  </r>
  <r>
    <x v="13"/>
    <s v="Projeto"/>
    <s v="CorporativoSubstituição do iNOVA - TI (CR)"/>
    <x v="13"/>
    <x v="12"/>
    <x v="7"/>
    <x v="0"/>
    <x v="0"/>
    <m/>
    <n v="0"/>
    <n v="0"/>
  </r>
  <r>
    <x v="13"/>
    <s v="Projeto"/>
    <s v="CorporativoSubstituição do iNOVA - TI (CR)"/>
    <x v="13"/>
    <x v="12"/>
    <x v="7"/>
    <x v="0"/>
    <x v="1"/>
    <m/>
    <n v="0"/>
    <n v="0"/>
  </r>
  <r>
    <x v="13"/>
    <s v="Projeto"/>
    <s v="CorporativoSubstituição do iNOVA - TI (CR)"/>
    <x v="13"/>
    <x v="12"/>
    <x v="7"/>
    <x v="0"/>
    <x v="2"/>
    <m/>
    <n v="0"/>
    <n v="0"/>
  </r>
  <r>
    <x v="13"/>
    <s v="Projeto"/>
    <s v="CorporativoSubstituição do iNOVA - TI (CR)"/>
    <x v="13"/>
    <x v="12"/>
    <x v="7"/>
    <x v="0"/>
    <x v="3"/>
    <m/>
    <n v="0"/>
    <n v="0"/>
  </r>
  <r>
    <x v="13"/>
    <s v="Projeto"/>
    <s v="CorporativoSubstituição do iNOVA - TI (CR)"/>
    <x v="13"/>
    <x v="12"/>
    <x v="7"/>
    <x v="0"/>
    <x v="4"/>
    <n v="1"/>
    <n v="0"/>
    <n v="0"/>
  </r>
  <r>
    <x v="13"/>
    <s v="Projeto"/>
    <s v="CorporativoSubstituição do iNOVA - TI (CR)"/>
    <x v="13"/>
    <x v="12"/>
    <x v="7"/>
    <x v="0"/>
    <x v="5"/>
    <m/>
    <n v="0"/>
    <n v="0"/>
  </r>
  <r>
    <x v="13"/>
    <s v="Projeto"/>
    <s v="CorporativoSubstituição do iNOVA - TI (CR)"/>
    <x v="13"/>
    <x v="12"/>
    <x v="7"/>
    <x v="0"/>
    <x v="6"/>
    <m/>
    <n v="0"/>
    <n v="0"/>
  </r>
  <r>
    <x v="13"/>
    <s v="Projeto"/>
    <s v="CorporativoSubstituição do iNOVA - TI (CR)"/>
    <x v="13"/>
    <x v="12"/>
    <x v="7"/>
    <x v="0"/>
    <x v="7"/>
    <m/>
    <n v="0"/>
    <n v="0"/>
  </r>
  <r>
    <x v="13"/>
    <s v="Projeto"/>
    <s v="CorporativoSubstituição do iNOVA - TI (CR)"/>
    <x v="13"/>
    <x v="12"/>
    <x v="7"/>
    <x v="0"/>
    <x v="8"/>
    <m/>
    <n v="0"/>
    <n v="0"/>
  </r>
  <r>
    <x v="13"/>
    <s v="Projeto"/>
    <s v="CorporativoSubstituição do iNOVA - TI (CR)"/>
    <x v="13"/>
    <x v="12"/>
    <x v="7"/>
    <x v="0"/>
    <x v="9"/>
    <m/>
    <n v="0"/>
    <n v="0"/>
  </r>
  <r>
    <x v="13"/>
    <s v="Projeto"/>
    <s v="CorporativoSubstituição do iNOVA - TI (CR)"/>
    <x v="13"/>
    <x v="12"/>
    <x v="7"/>
    <x v="0"/>
    <x v="10"/>
    <m/>
    <n v="0"/>
    <n v="0"/>
  </r>
  <r>
    <x v="13"/>
    <s v="Projeto"/>
    <s v="CorporativoSubstituição do iNOVA - TI (CR)"/>
    <x v="13"/>
    <x v="12"/>
    <x v="7"/>
    <x v="0"/>
    <x v="11"/>
    <m/>
    <n v="0"/>
    <n v="0"/>
  </r>
  <r>
    <x v="14"/>
    <s v="Projeto"/>
    <s v="CorporativoSubstituição do iNOVA - TI (SP)"/>
    <x v="14"/>
    <x v="13"/>
    <x v="8"/>
    <x v="0"/>
    <x v="0"/>
    <m/>
    <n v="0"/>
    <n v="0"/>
  </r>
  <r>
    <x v="14"/>
    <s v="Projeto"/>
    <s v="CorporativoSubstituição do iNOVA - TI (SP)"/>
    <x v="14"/>
    <x v="13"/>
    <x v="8"/>
    <x v="0"/>
    <x v="1"/>
    <m/>
    <n v="0"/>
    <n v="0"/>
  </r>
  <r>
    <x v="14"/>
    <s v="Projeto"/>
    <s v="CorporativoSubstituição do iNOVA - TI (SP)"/>
    <x v="14"/>
    <x v="13"/>
    <x v="8"/>
    <x v="0"/>
    <x v="2"/>
    <m/>
    <n v="0"/>
    <n v="0"/>
  </r>
  <r>
    <x v="14"/>
    <s v="Projeto"/>
    <s v="CorporativoSubstituição do iNOVA - TI (SP)"/>
    <x v="14"/>
    <x v="13"/>
    <x v="8"/>
    <x v="0"/>
    <x v="3"/>
    <m/>
    <n v="0"/>
    <n v="0"/>
  </r>
  <r>
    <x v="14"/>
    <s v="Projeto"/>
    <s v="CorporativoSubstituição do iNOVA - TI (SP)"/>
    <x v="14"/>
    <x v="13"/>
    <x v="8"/>
    <x v="0"/>
    <x v="4"/>
    <n v="1"/>
    <n v="0"/>
    <n v="0"/>
  </r>
  <r>
    <x v="14"/>
    <s v="Projeto"/>
    <s v="CorporativoSubstituição do iNOVA - TI (SP)"/>
    <x v="14"/>
    <x v="13"/>
    <x v="8"/>
    <x v="0"/>
    <x v="5"/>
    <m/>
    <n v="0"/>
    <n v="0"/>
  </r>
  <r>
    <x v="14"/>
    <s v="Projeto"/>
    <s v="CorporativoSubstituição do iNOVA - TI (SP)"/>
    <x v="14"/>
    <x v="13"/>
    <x v="8"/>
    <x v="0"/>
    <x v="6"/>
    <m/>
    <n v="0"/>
    <n v="0"/>
  </r>
  <r>
    <x v="14"/>
    <s v="Projeto"/>
    <s v="CorporativoSubstituição do iNOVA - TI (SP)"/>
    <x v="14"/>
    <x v="13"/>
    <x v="8"/>
    <x v="0"/>
    <x v="7"/>
    <m/>
    <n v="0"/>
    <n v="0"/>
  </r>
  <r>
    <x v="14"/>
    <s v="Projeto"/>
    <s v="CorporativoSubstituição do iNOVA - TI (SP)"/>
    <x v="14"/>
    <x v="13"/>
    <x v="8"/>
    <x v="0"/>
    <x v="8"/>
    <m/>
    <n v="0"/>
    <n v="0"/>
  </r>
  <r>
    <x v="14"/>
    <s v="Projeto"/>
    <s v="CorporativoSubstituição do iNOVA - TI (SP)"/>
    <x v="14"/>
    <x v="13"/>
    <x v="8"/>
    <x v="0"/>
    <x v="9"/>
    <m/>
    <n v="0"/>
    <n v="0"/>
  </r>
  <r>
    <x v="14"/>
    <s v="Projeto"/>
    <s v="CorporativoSubstituição do iNOVA - TI (SP)"/>
    <x v="14"/>
    <x v="13"/>
    <x v="8"/>
    <x v="0"/>
    <x v="10"/>
    <m/>
    <n v="0"/>
    <n v="0"/>
  </r>
  <r>
    <x v="14"/>
    <s v="Projeto"/>
    <s v="CorporativoSubstituição do iNOVA - TI (SP)"/>
    <x v="14"/>
    <x v="13"/>
    <x v="8"/>
    <x v="0"/>
    <x v="11"/>
    <m/>
    <n v="0"/>
    <n v="0"/>
  </r>
  <r>
    <x v="15"/>
    <s v="Projeto"/>
    <s v="CorporativoPadronização no módulo de faturamento"/>
    <x v="15"/>
    <x v="14"/>
    <x v="8"/>
    <x v="0"/>
    <x v="0"/>
    <m/>
    <n v="0"/>
    <n v="0"/>
  </r>
  <r>
    <x v="15"/>
    <s v="Projeto"/>
    <s v="CorporativoPadronização no módulo de faturamento"/>
    <x v="15"/>
    <x v="14"/>
    <x v="8"/>
    <x v="0"/>
    <x v="1"/>
    <m/>
    <n v="0"/>
    <n v="0"/>
  </r>
  <r>
    <x v="15"/>
    <s v="Projeto"/>
    <s v="CorporativoPadronização no módulo de faturamento"/>
    <x v="15"/>
    <x v="14"/>
    <x v="8"/>
    <x v="0"/>
    <x v="2"/>
    <m/>
    <n v="0"/>
    <n v="0"/>
  </r>
  <r>
    <x v="15"/>
    <s v="Projeto"/>
    <s v="CorporativoPadronização no módulo de faturamento"/>
    <x v="15"/>
    <x v="14"/>
    <x v="8"/>
    <x v="0"/>
    <x v="3"/>
    <m/>
    <n v="0"/>
    <n v="0"/>
  </r>
  <r>
    <x v="15"/>
    <s v="Projeto"/>
    <s v="CorporativoPadronização no módulo de faturamento"/>
    <x v="15"/>
    <x v="14"/>
    <x v="8"/>
    <x v="0"/>
    <x v="4"/>
    <m/>
    <n v="0"/>
    <n v="0"/>
  </r>
  <r>
    <x v="15"/>
    <s v="Projeto"/>
    <s v="CorporativoPadronização no módulo de faturamento"/>
    <x v="15"/>
    <x v="14"/>
    <x v="8"/>
    <x v="0"/>
    <x v="5"/>
    <m/>
    <n v="0"/>
    <n v="0"/>
  </r>
  <r>
    <x v="15"/>
    <s v="Projeto"/>
    <s v="CorporativoPadronização no módulo de faturamento"/>
    <x v="15"/>
    <x v="14"/>
    <x v="8"/>
    <x v="0"/>
    <x v="6"/>
    <m/>
    <n v="0"/>
    <n v="0"/>
  </r>
  <r>
    <x v="15"/>
    <s v="Projeto"/>
    <s v="CorporativoPadronização no módulo de faturamento"/>
    <x v="15"/>
    <x v="14"/>
    <x v="8"/>
    <x v="0"/>
    <x v="7"/>
    <m/>
    <n v="0"/>
    <n v="0"/>
  </r>
  <r>
    <x v="15"/>
    <s v="Projeto"/>
    <s v="CorporativoPadronização no módulo de faturamento"/>
    <x v="15"/>
    <x v="14"/>
    <x v="8"/>
    <x v="0"/>
    <x v="8"/>
    <n v="0.5"/>
    <n v="0"/>
    <n v="0"/>
  </r>
  <r>
    <x v="15"/>
    <s v="Projeto"/>
    <s v="CorporativoPadronização no módulo de faturamento"/>
    <x v="15"/>
    <x v="14"/>
    <x v="8"/>
    <x v="0"/>
    <x v="9"/>
    <n v="0.4"/>
    <n v="0"/>
    <n v="0"/>
  </r>
  <r>
    <x v="15"/>
    <s v="Projeto"/>
    <s v="CorporativoPadronização no módulo de faturamento"/>
    <x v="15"/>
    <x v="14"/>
    <x v="8"/>
    <x v="0"/>
    <x v="10"/>
    <n v="0.1"/>
    <n v="0"/>
    <n v="0"/>
  </r>
  <r>
    <x v="15"/>
    <s v="Projeto"/>
    <s v="CorporativoPadronização no módulo de faturamento"/>
    <x v="15"/>
    <x v="14"/>
    <x v="8"/>
    <x v="0"/>
    <x v="11"/>
    <m/>
    <n v="0"/>
    <n v="0"/>
  </r>
  <r>
    <x v="16"/>
    <s v="Projeto"/>
    <s v="CorporativoCumprimento de Marcos da iniciativa do Comercial - Cadastro Integrado (Qgis x iNova)"/>
    <x v="16"/>
    <x v="11"/>
    <x v="8"/>
    <x v="0"/>
    <x v="0"/>
    <m/>
    <n v="0"/>
    <n v="0"/>
  </r>
  <r>
    <x v="16"/>
    <s v="Projeto"/>
    <s v="CorporativoCumprimento de Marcos da iniciativa do Comercial - Cadastro Integrado (Qgis x iNova)"/>
    <x v="16"/>
    <x v="11"/>
    <x v="8"/>
    <x v="0"/>
    <x v="1"/>
    <m/>
    <n v="0"/>
    <n v="0"/>
  </r>
  <r>
    <x v="16"/>
    <s v="Projeto"/>
    <s v="CorporativoCumprimento de Marcos da iniciativa do Comercial - Cadastro Integrado (Qgis x iNova)"/>
    <x v="16"/>
    <x v="11"/>
    <x v="8"/>
    <x v="0"/>
    <x v="2"/>
    <m/>
    <n v="0"/>
    <n v="0"/>
  </r>
  <r>
    <x v="16"/>
    <s v="Projeto"/>
    <s v="CorporativoCumprimento de Marcos da iniciativa do Comercial - Cadastro Integrado (Qgis x iNova)"/>
    <x v="16"/>
    <x v="11"/>
    <x v="8"/>
    <x v="0"/>
    <x v="3"/>
    <m/>
    <n v="0"/>
    <n v="0"/>
  </r>
  <r>
    <x v="16"/>
    <s v="Projeto"/>
    <s v="CorporativoCumprimento de Marcos da iniciativa do Comercial - Cadastro Integrado (Qgis x iNova)"/>
    <x v="16"/>
    <x v="11"/>
    <x v="8"/>
    <x v="0"/>
    <x v="4"/>
    <m/>
    <n v="0"/>
    <n v="0"/>
  </r>
  <r>
    <x v="16"/>
    <s v="Projeto"/>
    <s v="CorporativoCumprimento de Marcos da iniciativa do Comercial - Cadastro Integrado (Qgis x iNova)"/>
    <x v="16"/>
    <x v="11"/>
    <x v="8"/>
    <x v="0"/>
    <x v="5"/>
    <m/>
    <n v="0"/>
    <n v="0"/>
  </r>
  <r>
    <x v="16"/>
    <s v="Projeto"/>
    <s v="CorporativoCumprimento de Marcos da iniciativa do Comercial - Cadastro Integrado (Qgis x iNova)"/>
    <x v="16"/>
    <x v="11"/>
    <x v="8"/>
    <x v="0"/>
    <x v="6"/>
    <m/>
    <n v="0"/>
    <n v="0"/>
  </r>
  <r>
    <x v="16"/>
    <s v="Projeto"/>
    <s v="CorporativoCumprimento de Marcos da iniciativa do Comercial - Cadastro Integrado (Qgis x iNova)"/>
    <x v="16"/>
    <x v="11"/>
    <x v="8"/>
    <x v="0"/>
    <x v="7"/>
    <m/>
    <n v="0"/>
    <n v="0"/>
  </r>
  <r>
    <x v="16"/>
    <s v="Projeto"/>
    <s v="CorporativoCumprimento de Marcos da iniciativa do Comercial - Cadastro Integrado (Qgis x iNova)"/>
    <x v="16"/>
    <x v="11"/>
    <x v="8"/>
    <x v="0"/>
    <x v="8"/>
    <m/>
    <n v="0"/>
    <n v="0"/>
  </r>
  <r>
    <x v="16"/>
    <s v="Projeto"/>
    <s v="CorporativoCumprimento de Marcos da iniciativa do Comercial - Cadastro Integrado (Qgis x iNova)"/>
    <x v="16"/>
    <x v="11"/>
    <x v="8"/>
    <x v="0"/>
    <x v="9"/>
    <m/>
    <n v="0"/>
    <n v="0"/>
  </r>
  <r>
    <x v="16"/>
    <s v="Projeto"/>
    <s v="CorporativoCumprimento de Marcos da iniciativa do Comercial - Cadastro Integrado (Qgis x iNova)"/>
    <x v="16"/>
    <x v="11"/>
    <x v="8"/>
    <x v="0"/>
    <x v="10"/>
    <m/>
    <n v="0"/>
    <n v="0"/>
  </r>
  <r>
    <x v="16"/>
    <s v="Projeto"/>
    <s v="CorporativoCumprimento de Marcos da iniciativa do Comercial - Cadastro Integrado (Qgis x iNova)"/>
    <x v="16"/>
    <x v="11"/>
    <x v="8"/>
    <x v="0"/>
    <x v="11"/>
    <n v="1"/>
    <n v="0"/>
    <n v="0"/>
  </r>
  <r>
    <x v="17"/>
    <s v="Satisfação"/>
    <s v="CorporativoCumprimento ao SLA de Incidentes de TI (%): Sistemas do Comercial (Relacionamento e Arrecadação)"/>
    <x v="17"/>
    <x v="10"/>
    <x v="9"/>
    <x v="0"/>
    <x v="0"/>
    <m/>
    <n v="0"/>
    <n v="0"/>
  </r>
  <r>
    <x v="17"/>
    <s v="Satisfação"/>
    <s v="CorporativoCumprimento ao SLA de Incidentes de TI (%): Sistemas do Comercial (Relacionamento e Arrecadação)"/>
    <x v="17"/>
    <x v="10"/>
    <x v="9"/>
    <x v="0"/>
    <x v="1"/>
    <m/>
    <n v="0"/>
    <n v="0"/>
  </r>
  <r>
    <x v="17"/>
    <s v="Satisfação"/>
    <s v="CorporativoCumprimento ao SLA de Incidentes de TI (%): Sistemas do Comercial (Relacionamento e Arrecadação)"/>
    <x v="17"/>
    <x v="10"/>
    <x v="9"/>
    <x v="0"/>
    <x v="2"/>
    <m/>
    <n v="0"/>
    <n v="0"/>
  </r>
  <r>
    <x v="17"/>
    <s v="Satisfação"/>
    <s v="CorporativoCumprimento ao SLA de Incidentes de TI (%): Sistemas do Comercial (Relacionamento e Arrecadação)"/>
    <x v="17"/>
    <x v="10"/>
    <x v="9"/>
    <x v="0"/>
    <x v="3"/>
    <m/>
    <n v="0"/>
    <n v="0"/>
  </r>
  <r>
    <x v="17"/>
    <s v="Satisfação"/>
    <s v="CorporativoCumprimento ao SLA de Incidentes de TI (%): Sistemas do Comercial (Relacionamento e Arrecadação)"/>
    <x v="17"/>
    <x v="10"/>
    <x v="9"/>
    <x v="0"/>
    <x v="4"/>
    <m/>
    <n v="0"/>
    <n v="0"/>
  </r>
  <r>
    <x v="17"/>
    <s v="Satisfação"/>
    <s v="CorporativoCumprimento ao SLA de Incidentes de TI (%): Sistemas do Comercial (Relacionamento e Arrecadação)"/>
    <x v="17"/>
    <x v="10"/>
    <x v="9"/>
    <x v="0"/>
    <x v="5"/>
    <m/>
    <n v="0"/>
    <n v="0"/>
  </r>
  <r>
    <x v="17"/>
    <s v="Satisfação"/>
    <s v="CorporativoCumprimento ao SLA de Incidentes de TI (%): Sistemas do Comercial (Relacionamento e Arrecadação)"/>
    <x v="17"/>
    <x v="10"/>
    <x v="9"/>
    <x v="0"/>
    <x v="6"/>
    <m/>
    <n v="0"/>
    <n v="0"/>
  </r>
  <r>
    <x v="17"/>
    <s v="Satisfação"/>
    <s v="CorporativoCumprimento ao SLA de Incidentes de TI (%): Sistemas do Comercial (Relacionamento e Arrecadação)"/>
    <x v="17"/>
    <x v="10"/>
    <x v="9"/>
    <x v="0"/>
    <x v="7"/>
    <m/>
    <n v="0"/>
    <n v="0"/>
  </r>
  <r>
    <x v="17"/>
    <s v="Satisfação"/>
    <s v="CorporativoCumprimento ao SLA de Incidentes de TI (%): Sistemas do Comercial (Relacionamento e Arrecadação)"/>
    <x v="17"/>
    <x v="10"/>
    <x v="9"/>
    <x v="0"/>
    <x v="8"/>
    <m/>
    <n v="0"/>
    <n v="0"/>
  </r>
  <r>
    <x v="17"/>
    <s v="Satisfação"/>
    <s v="CorporativoCumprimento ao SLA de Incidentes de TI (%): Sistemas do Comercial (Relacionamento e Arrecadação)"/>
    <x v="17"/>
    <x v="10"/>
    <x v="9"/>
    <x v="0"/>
    <x v="9"/>
    <m/>
    <n v="0"/>
    <n v="0"/>
  </r>
  <r>
    <x v="17"/>
    <s v="Satisfação"/>
    <s v="CorporativoCumprimento ao SLA de Incidentes de TI (%): Sistemas do Comercial (Relacionamento e Arrecadação)"/>
    <x v="17"/>
    <x v="10"/>
    <x v="9"/>
    <x v="0"/>
    <x v="10"/>
    <m/>
    <n v="0"/>
    <n v="0"/>
  </r>
  <r>
    <x v="17"/>
    <s v="Satisfação"/>
    <s v="CorporativoCumprimento ao SLA de Incidentes de TI (%): Sistemas do Comercial (Relacionamento e Arrecadação)"/>
    <x v="17"/>
    <x v="10"/>
    <x v="9"/>
    <x v="0"/>
    <x v="11"/>
    <m/>
    <n v="0"/>
    <n v="0"/>
  </r>
  <r>
    <x v="18"/>
    <s v="Suporte"/>
    <s v="CorporativoCumprimento ao SLA de Incidentes de TI (%): Sistemas do Suprimentos &amp; Apoio"/>
    <x v="18"/>
    <x v="10"/>
    <x v="10"/>
    <x v="0"/>
    <x v="0"/>
    <m/>
    <n v="0"/>
    <n v="0"/>
  </r>
  <r>
    <x v="18"/>
    <s v="Suporte"/>
    <s v="CorporativoCumprimento ao SLA de Incidentes de TI (%): Sistemas do Suprimentos &amp; Apoio"/>
    <x v="18"/>
    <x v="10"/>
    <x v="10"/>
    <x v="0"/>
    <x v="1"/>
    <m/>
    <n v="0"/>
    <n v="0"/>
  </r>
  <r>
    <x v="18"/>
    <s v="Suporte"/>
    <s v="CorporativoCumprimento ao SLA de Incidentes de TI (%): Sistemas do Suprimentos &amp; Apoio"/>
    <x v="18"/>
    <x v="10"/>
    <x v="10"/>
    <x v="0"/>
    <x v="2"/>
    <m/>
    <n v="0"/>
    <n v="0"/>
  </r>
  <r>
    <x v="18"/>
    <s v="Suporte"/>
    <s v="CorporativoCumprimento ao SLA de Incidentes de TI (%): Sistemas do Suprimentos &amp; Apoio"/>
    <x v="18"/>
    <x v="10"/>
    <x v="10"/>
    <x v="0"/>
    <x v="3"/>
    <m/>
    <n v="0"/>
    <n v="0"/>
  </r>
  <r>
    <x v="18"/>
    <s v="Suporte"/>
    <s v="CorporativoCumprimento ao SLA de Incidentes de TI (%): Sistemas do Suprimentos &amp; Apoio"/>
    <x v="18"/>
    <x v="10"/>
    <x v="10"/>
    <x v="0"/>
    <x v="4"/>
    <m/>
    <n v="0"/>
    <n v="0"/>
  </r>
  <r>
    <x v="18"/>
    <s v="Suporte"/>
    <s v="CorporativoCumprimento ao SLA de Incidentes de TI (%): Sistemas do Suprimentos &amp; Apoio"/>
    <x v="18"/>
    <x v="10"/>
    <x v="10"/>
    <x v="0"/>
    <x v="5"/>
    <m/>
    <n v="0"/>
    <n v="0"/>
  </r>
  <r>
    <x v="18"/>
    <s v="Suporte"/>
    <s v="CorporativoCumprimento ao SLA de Incidentes de TI (%): Sistemas do Suprimentos &amp; Apoio"/>
    <x v="18"/>
    <x v="10"/>
    <x v="10"/>
    <x v="0"/>
    <x v="6"/>
    <m/>
    <n v="0"/>
    <n v="0"/>
  </r>
  <r>
    <x v="18"/>
    <s v="Suporte"/>
    <s v="CorporativoCumprimento ao SLA de Incidentes de TI (%): Sistemas do Suprimentos &amp; Apoio"/>
    <x v="18"/>
    <x v="10"/>
    <x v="10"/>
    <x v="0"/>
    <x v="7"/>
    <m/>
    <n v="0"/>
    <n v="0"/>
  </r>
  <r>
    <x v="18"/>
    <s v="Suporte"/>
    <s v="CorporativoCumprimento ao SLA de Incidentes de TI (%): Sistemas do Suprimentos &amp; Apoio"/>
    <x v="18"/>
    <x v="10"/>
    <x v="10"/>
    <x v="0"/>
    <x v="8"/>
    <m/>
    <n v="0"/>
    <n v="0"/>
  </r>
  <r>
    <x v="18"/>
    <s v="Suporte"/>
    <s v="CorporativoCumprimento ao SLA de Incidentes de TI (%): Sistemas do Suprimentos &amp; Apoio"/>
    <x v="18"/>
    <x v="10"/>
    <x v="10"/>
    <x v="0"/>
    <x v="9"/>
    <m/>
    <n v="0"/>
    <n v="0"/>
  </r>
  <r>
    <x v="18"/>
    <s v="Suporte"/>
    <s v="CorporativoCumprimento ao SLA de Incidentes de TI (%): Sistemas do Suprimentos &amp; Apoio"/>
    <x v="18"/>
    <x v="10"/>
    <x v="10"/>
    <x v="0"/>
    <x v="10"/>
    <m/>
    <n v="0"/>
    <n v="0"/>
  </r>
  <r>
    <x v="18"/>
    <s v="Suporte"/>
    <s v="CorporativoCumprimento ao SLA de Incidentes de TI (%): Sistemas do Suprimentos &amp; Apoio"/>
    <x v="18"/>
    <x v="10"/>
    <x v="10"/>
    <x v="0"/>
    <x v="11"/>
    <m/>
    <n v="0"/>
    <n v="0"/>
  </r>
  <r>
    <x v="19"/>
    <s v="Projeto"/>
    <s v="CorporativoCumprimento de Marcos do Projeto de Implantação da plataforma integrada dos processos de compras, contratos e fornecedores- Nashai"/>
    <x v="19"/>
    <x v="15"/>
    <x v="10"/>
    <x v="0"/>
    <x v="0"/>
    <m/>
    <n v="0"/>
    <n v="0"/>
  </r>
  <r>
    <x v="19"/>
    <s v="Projeto"/>
    <s v="CorporativoCumprimento de Marcos do Projeto de Implantação da plataforma integrada dos processos de compras, contratos e fornecedores- Nashai"/>
    <x v="19"/>
    <x v="15"/>
    <x v="10"/>
    <x v="0"/>
    <x v="1"/>
    <m/>
    <n v="0"/>
    <n v="0"/>
  </r>
  <r>
    <x v="19"/>
    <s v="Projeto"/>
    <s v="CorporativoCumprimento de Marcos do Projeto de Implantação da plataforma integrada dos processos de compras, contratos e fornecedores- Nashai"/>
    <x v="19"/>
    <x v="15"/>
    <x v="10"/>
    <x v="0"/>
    <x v="2"/>
    <m/>
    <n v="0"/>
    <n v="0"/>
  </r>
  <r>
    <x v="19"/>
    <s v="Projeto"/>
    <s v="CorporativoCumprimento de Marcos do Projeto de Implantação da plataforma integrada dos processos de compras, contratos e fornecedores- Nashai"/>
    <x v="19"/>
    <x v="15"/>
    <x v="10"/>
    <x v="0"/>
    <x v="3"/>
    <n v="0.1"/>
    <n v="0.1"/>
    <n v="0.1"/>
  </r>
  <r>
    <x v="19"/>
    <s v="Projeto"/>
    <s v="CorporativoCumprimento de Marcos do Projeto de Implantação da plataforma integrada dos processos de compras, contratos e fornecedores- Nashai"/>
    <x v="19"/>
    <x v="15"/>
    <x v="10"/>
    <x v="0"/>
    <x v="4"/>
    <m/>
    <n v="0"/>
    <n v="0.1"/>
  </r>
  <r>
    <x v="19"/>
    <s v="Projeto"/>
    <s v="CorporativoCumprimento de Marcos do Projeto de Implantação da plataforma integrada dos processos de compras, contratos e fornecedores- Nashai"/>
    <x v="19"/>
    <x v="15"/>
    <x v="10"/>
    <x v="0"/>
    <x v="5"/>
    <m/>
    <n v="0"/>
    <n v="0.1"/>
  </r>
  <r>
    <x v="19"/>
    <s v="Projeto"/>
    <s v="CorporativoCumprimento de Marcos do Projeto de Implantação da plataforma integrada dos processos de compras, contratos e fornecedores- Nashai"/>
    <x v="19"/>
    <x v="15"/>
    <x v="10"/>
    <x v="0"/>
    <x v="6"/>
    <m/>
    <n v="0"/>
    <n v="0.1"/>
  </r>
  <r>
    <x v="19"/>
    <s v="Projeto"/>
    <s v="CorporativoCumprimento de Marcos do Projeto de Implantação da plataforma integrada dos processos de compras, contratos e fornecedores- Nashai"/>
    <x v="19"/>
    <x v="15"/>
    <x v="10"/>
    <x v="0"/>
    <x v="7"/>
    <m/>
    <n v="0"/>
    <n v="0.1"/>
  </r>
  <r>
    <x v="19"/>
    <s v="Projeto"/>
    <s v="CorporativoCumprimento de Marcos do Projeto de Implantação da plataforma integrada dos processos de compras, contratos e fornecedores- Nashai"/>
    <x v="19"/>
    <x v="15"/>
    <x v="10"/>
    <x v="0"/>
    <x v="8"/>
    <m/>
    <n v="0"/>
    <n v="0.1"/>
  </r>
  <r>
    <x v="19"/>
    <s v="Projeto"/>
    <s v="CorporativoCumprimento de Marcos do Projeto de Implantação da plataforma integrada dos processos de compras, contratos e fornecedores- Nashai"/>
    <x v="19"/>
    <x v="15"/>
    <x v="10"/>
    <x v="0"/>
    <x v="9"/>
    <m/>
    <n v="0"/>
    <n v="0.1"/>
  </r>
  <r>
    <x v="19"/>
    <s v="Projeto"/>
    <s v="CorporativoCumprimento de Marcos do Projeto de Implantação da plataforma integrada dos processos de compras, contratos e fornecedores- Nashai"/>
    <x v="19"/>
    <x v="15"/>
    <x v="10"/>
    <x v="0"/>
    <x v="10"/>
    <m/>
    <n v="0"/>
    <n v="0.1"/>
  </r>
  <r>
    <x v="19"/>
    <s v="Projeto"/>
    <s v="CorporativoCumprimento de Marcos do Projeto de Implantação da plataforma integrada dos processos de compras, contratos e fornecedores- Nashai"/>
    <x v="19"/>
    <x v="15"/>
    <x v="10"/>
    <x v="0"/>
    <x v="11"/>
    <n v="0.9"/>
    <n v="0"/>
    <n v="0.1"/>
  </r>
  <r>
    <x v="20"/>
    <s v="Suporte"/>
    <s v="CorporativoCumprimento ao SLA de Incidentes de TI (%): Sistemas de Finanças &amp; Planejamento"/>
    <x v="20"/>
    <x v="10"/>
    <x v="11"/>
    <x v="0"/>
    <x v="0"/>
    <m/>
    <n v="0"/>
    <n v="0"/>
  </r>
  <r>
    <x v="20"/>
    <s v="Suporte"/>
    <s v="CorporativoCumprimento ao SLA de Incidentes de TI (%): Sistemas de Finanças &amp; Planejamento"/>
    <x v="20"/>
    <x v="10"/>
    <x v="11"/>
    <x v="0"/>
    <x v="1"/>
    <m/>
    <n v="0"/>
    <n v="0"/>
  </r>
  <r>
    <x v="20"/>
    <s v="Suporte"/>
    <s v="CorporativoCumprimento ao SLA de Incidentes de TI (%): Sistemas de Finanças &amp; Planejamento"/>
    <x v="20"/>
    <x v="10"/>
    <x v="11"/>
    <x v="0"/>
    <x v="2"/>
    <m/>
    <n v="0"/>
    <n v="0"/>
  </r>
  <r>
    <x v="20"/>
    <s v="Suporte"/>
    <s v="CorporativoCumprimento ao SLA de Incidentes de TI (%): Sistemas de Finanças &amp; Planejamento"/>
    <x v="20"/>
    <x v="10"/>
    <x v="11"/>
    <x v="0"/>
    <x v="3"/>
    <m/>
    <n v="0"/>
    <n v="0"/>
  </r>
  <r>
    <x v="20"/>
    <s v="Suporte"/>
    <s v="CorporativoCumprimento ao SLA de Incidentes de TI (%): Sistemas de Finanças &amp; Planejamento"/>
    <x v="20"/>
    <x v="10"/>
    <x v="11"/>
    <x v="0"/>
    <x v="4"/>
    <m/>
    <n v="0"/>
    <n v="0"/>
  </r>
  <r>
    <x v="20"/>
    <s v="Suporte"/>
    <s v="CorporativoCumprimento ao SLA de Incidentes de TI (%): Sistemas de Finanças &amp; Planejamento"/>
    <x v="20"/>
    <x v="10"/>
    <x v="11"/>
    <x v="0"/>
    <x v="5"/>
    <m/>
    <n v="0"/>
    <n v="0"/>
  </r>
  <r>
    <x v="20"/>
    <s v="Suporte"/>
    <s v="CorporativoCumprimento ao SLA de Incidentes de TI (%): Sistemas de Finanças &amp; Planejamento"/>
    <x v="20"/>
    <x v="10"/>
    <x v="11"/>
    <x v="0"/>
    <x v="6"/>
    <m/>
    <n v="0"/>
    <n v="0"/>
  </r>
  <r>
    <x v="20"/>
    <s v="Suporte"/>
    <s v="CorporativoCumprimento ao SLA de Incidentes de TI (%): Sistemas de Finanças &amp; Planejamento"/>
    <x v="20"/>
    <x v="10"/>
    <x v="11"/>
    <x v="0"/>
    <x v="7"/>
    <m/>
    <n v="0"/>
    <n v="0"/>
  </r>
  <r>
    <x v="20"/>
    <s v="Suporte"/>
    <s v="CorporativoCumprimento ao SLA de Incidentes de TI (%): Sistemas de Finanças &amp; Planejamento"/>
    <x v="20"/>
    <x v="10"/>
    <x v="11"/>
    <x v="0"/>
    <x v="8"/>
    <m/>
    <n v="0"/>
    <n v="0"/>
  </r>
  <r>
    <x v="20"/>
    <s v="Suporte"/>
    <s v="CorporativoCumprimento ao SLA de Incidentes de TI (%): Sistemas de Finanças &amp; Planejamento"/>
    <x v="20"/>
    <x v="10"/>
    <x v="11"/>
    <x v="0"/>
    <x v="9"/>
    <m/>
    <n v="0"/>
    <n v="0"/>
  </r>
  <r>
    <x v="20"/>
    <s v="Suporte"/>
    <s v="CorporativoCumprimento ao SLA de Incidentes de TI (%): Sistemas de Finanças &amp; Planejamento"/>
    <x v="20"/>
    <x v="10"/>
    <x v="11"/>
    <x v="0"/>
    <x v="10"/>
    <m/>
    <n v="0"/>
    <n v="0"/>
  </r>
  <r>
    <x v="20"/>
    <s v="Suporte"/>
    <s v="CorporativoCumprimento ao SLA de Incidentes de TI (%): Sistemas de Finanças &amp; Planejamento"/>
    <x v="20"/>
    <x v="10"/>
    <x v="11"/>
    <x v="0"/>
    <x v="11"/>
    <m/>
    <n v="0"/>
    <n v="0"/>
  </r>
  <r>
    <x v="21"/>
    <s v="Projeto"/>
    <s v="CorporativoCumprimento de Marcos do Projeto de Implantação da Ferramenta de Planejamento Financeiro - Leverpro"/>
    <x v="21"/>
    <x v="16"/>
    <x v="11"/>
    <x v="0"/>
    <x v="0"/>
    <m/>
    <n v="0"/>
    <n v="0"/>
  </r>
  <r>
    <x v="21"/>
    <s v="Projeto"/>
    <s v="CorporativoCumprimento de Marcos do Projeto de Implantação da Ferramenta de Planejamento Financeiro - Leverpro"/>
    <x v="21"/>
    <x v="16"/>
    <x v="11"/>
    <x v="0"/>
    <x v="1"/>
    <n v="0.3"/>
    <n v="0.3"/>
    <n v="0.3"/>
  </r>
  <r>
    <x v="21"/>
    <s v="Projeto"/>
    <s v="CorporativoCumprimento de Marcos do Projeto de Implantação da Ferramenta de Planejamento Financeiro - Leverpro"/>
    <x v="21"/>
    <x v="16"/>
    <x v="11"/>
    <x v="0"/>
    <x v="2"/>
    <m/>
    <n v="0"/>
    <n v="0.3"/>
  </r>
  <r>
    <x v="21"/>
    <s v="Projeto"/>
    <s v="CorporativoCumprimento de Marcos do Projeto de Implantação da Ferramenta de Planejamento Financeiro - Leverpro"/>
    <x v="21"/>
    <x v="16"/>
    <x v="11"/>
    <x v="0"/>
    <x v="3"/>
    <m/>
    <n v="0"/>
    <n v="0.3"/>
  </r>
  <r>
    <x v="21"/>
    <s v="Projeto"/>
    <s v="CorporativoCumprimento de Marcos do Projeto de Implantação da Ferramenta de Planejamento Financeiro - Leverpro"/>
    <x v="21"/>
    <x v="16"/>
    <x v="11"/>
    <x v="0"/>
    <x v="4"/>
    <m/>
    <n v="0"/>
    <n v="0.3"/>
  </r>
  <r>
    <x v="21"/>
    <s v="Projeto"/>
    <s v="CorporativoCumprimento de Marcos do Projeto de Implantação da Ferramenta de Planejamento Financeiro - Leverpro"/>
    <x v="21"/>
    <x v="16"/>
    <x v="11"/>
    <x v="0"/>
    <x v="5"/>
    <m/>
    <n v="0"/>
    <n v="0.3"/>
  </r>
  <r>
    <x v="21"/>
    <s v="Projeto"/>
    <s v="CorporativoCumprimento de Marcos do Projeto de Implantação da Ferramenta de Planejamento Financeiro - Leverpro"/>
    <x v="21"/>
    <x v="16"/>
    <x v="11"/>
    <x v="0"/>
    <x v="6"/>
    <n v="0.7"/>
    <n v="0"/>
    <n v="0.3"/>
  </r>
  <r>
    <x v="21"/>
    <s v="Projeto"/>
    <s v="CorporativoCumprimento de Marcos do Projeto de Implantação da Ferramenta de Planejamento Financeiro - Leverpro"/>
    <x v="21"/>
    <x v="16"/>
    <x v="11"/>
    <x v="0"/>
    <x v="7"/>
    <m/>
    <n v="0"/>
    <n v="0.3"/>
  </r>
  <r>
    <x v="21"/>
    <s v="Projeto"/>
    <s v="CorporativoCumprimento de Marcos do Projeto de Implantação da Ferramenta de Planejamento Financeiro - Leverpro"/>
    <x v="21"/>
    <x v="16"/>
    <x v="11"/>
    <x v="0"/>
    <x v="8"/>
    <m/>
    <n v="0"/>
    <n v="0.3"/>
  </r>
  <r>
    <x v="21"/>
    <s v="Projeto"/>
    <s v="CorporativoCumprimento de Marcos do Projeto de Implantação da Ferramenta de Planejamento Financeiro - Leverpro"/>
    <x v="21"/>
    <x v="16"/>
    <x v="11"/>
    <x v="0"/>
    <x v="9"/>
    <m/>
    <n v="0"/>
    <n v="0.3"/>
  </r>
  <r>
    <x v="21"/>
    <s v="Projeto"/>
    <s v="CorporativoCumprimento de Marcos do Projeto de Implantação da Ferramenta de Planejamento Financeiro - Leverpro"/>
    <x v="21"/>
    <x v="16"/>
    <x v="11"/>
    <x v="0"/>
    <x v="10"/>
    <m/>
    <n v="0"/>
    <n v="0.3"/>
  </r>
  <r>
    <x v="21"/>
    <s v="Projeto"/>
    <s v="CorporativoCumprimento de Marcos do Projeto de Implantação da Ferramenta de Planejamento Financeiro - Leverpro"/>
    <x v="21"/>
    <x v="16"/>
    <x v="11"/>
    <x v="0"/>
    <x v="11"/>
    <m/>
    <n v="0"/>
    <n v="0.3"/>
  </r>
  <r>
    <x v="22"/>
    <s v="Suporte"/>
    <s v="CorporativoCumprimento ao SLA de Incidentes de TI (%): Sistemas de Operações &amp; Engenharia"/>
    <x v="22"/>
    <x v="10"/>
    <x v="12"/>
    <x v="0"/>
    <x v="0"/>
    <m/>
    <n v="0"/>
    <n v="0"/>
  </r>
  <r>
    <x v="22"/>
    <s v="Suporte"/>
    <s v="CorporativoCumprimento ao SLA de Incidentes de TI (%): Sistemas de Operações &amp; Engenharia"/>
    <x v="22"/>
    <x v="10"/>
    <x v="12"/>
    <x v="0"/>
    <x v="1"/>
    <m/>
    <n v="0"/>
    <n v="0"/>
  </r>
  <r>
    <x v="22"/>
    <s v="Suporte"/>
    <s v="CorporativoCumprimento ao SLA de Incidentes de TI (%): Sistemas de Operações &amp; Engenharia"/>
    <x v="22"/>
    <x v="10"/>
    <x v="12"/>
    <x v="0"/>
    <x v="2"/>
    <m/>
    <n v="0"/>
    <n v="0"/>
  </r>
  <r>
    <x v="22"/>
    <s v="Suporte"/>
    <s v="CorporativoCumprimento ao SLA de Incidentes de TI (%): Sistemas de Operações &amp; Engenharia"/>
    <x v="22"/>
    <x v="10"/>
    <x v="12"/>
    <x v="0"/>
    <x v="3"/>
    <m/>
    <n v="0"/>
    <n v="0"/>
  </r>
  <r>
    <x v="22"/>
    <s v="Suporte"/>
    <s v="CorporativoCumprimento ao SLA de Incidentes de TI (%): Sistemas de Operações &amp; Engenharia"/>
    <x v="22"/>
    <x v="10"/>
    <x v="12"/>
    <x v="0"/>
    <x v="4"/>
    <m/>
    <n v="0"/>
    <n v="0"/>
  </r>
  <r>
    <x v="22"/>
    <s v="Suporte"/>
    <s v="CorporativoCumprimento ao SLA de Incidentes de TI (%): Sistemas de Operações &amp; Engenharia"/>
    <x v="22"/>
    <x v="10"/>
    <x v="12"/>
    <x v="0"/>
    <x v="5"/>
    <m/>
    <n v="0"/>
    <n v="0"/>
  </r>
  <r>
    <x v="22"/>
    <s v="Suporte"/>
    <s v="CorporativoCumprimento ao SLA de Incidentes de TI (%): Sistemas de Operações &amp; Engenharia"/>
    <x v="22"/>
    <x v="10"/>
    <x v="12"/>
    <x v="0"/>
    <x v="6"/>
    <m/>
    <n v="0"/>
    <n v="0"/>
  </r>
  <r>
    <x v="22"/>
    <s v="Suporte"/>
    <s v="CorporativoCumprimento ao SLA de Incidentes de TI (%): Sistemas de Operações &amp; Engenharia"/>
    <x v="22"/>
    <x v="10"/>
    <x v="12"/>
    <x v="0"/>
    <x v="7"/>
    <m/>
    <n v="0"/>
    <n v="0"/>
  </r>
  <r>
    <x v="22"/>
    <s v="Suporte"/>
    <s v="CorporativoCumprimento ao SLA de Incidentes de TI (%): Sistemas de Operações &amp; Engenharia"/>
    <x v="22"/>
    <x v="10"/>
    <x v="12"/>
    <x v="0"/>
    <x v="8"/>
    <m/>
    <n v="0"/>
    <n v="0"/>
  </r>
  <r>
    <x v="22"/>
    <s v="Suporte"/>
    <s v="CorporativoCumprimento ao SLA de Incidentes de TI (%): Sistemas de Operações &amp; Engenharia"/>
    <x v="22"/>
    <x v="10"/>
    <x v="12"/>
    <x v="0"/>
    <x v="9"/>
    <m/>
    <n v="0"/>
    <n v="0"/>
  </r>
  <r>
    <x v="22"/>
    <s v="Suporte"/>
    <s v="CorporativoCumprimento ao SLA de Incidentes de TI (%): Sistemas de Operações &amp; Engenharia"/>
    <x v="22"/>
    <x v="10"/>
    <x v="12"/>
    <x v="0"/>
    <x v="10"/>
    <m/>
    <n v="0"/>
    <n v="0"/>
  </r>
  <r>
    <x v="22"/>
    <s v="Suporte"/>
    <s v="CorporativoCumprimento ao SLA de Incidentes de TI (%): Sistemas de Operações &amp; Engenharia"/>
    <x v="22"/>
    <x v="10"/>
    <x v="12"/>
    <x v="0"/>
    <x v="11"/>
    <m/>
    <n v="0"/>
    <n v="0"/>
  </r>
  <r>
    <x v="23"/>
    <s v="Projeto"/>
    <s v="CorporativoSubstituição do iNOVA - TI (PN)"/>
    <x v="23"/>
    <x v="17"/>
    <x v="12"/>
    <x v="0"/>
    <x v="0"/>
    <m/>
    <n v="0"/>
    <n v="0"/>
  </r>
  <r>
    <x v="23"/>
    <s v="Projeto"/>
    <s v="CorporativoSubstituição do iNOVA - TI (PN)"/>
    <x v="23"/>
    <x v="17"/>
    <x v="12"/>
    <x v="0"/>
    <x v="1"/>
    <m/>
    <n v="0"/>
    <n v="0"/>
  </r>
  <r>
    <x v="23"/>
    <s v="Projeto"/>
    <s v="CorporativoSubstituição do iNOVA - TI (PN)"/>
    <x v="23"/>
    <x v="17"/>
    <x v="12"/>
    <x v="0"/>
    <x v="2"/>
    <m/>
    <n v="0"/>
    <n v="0"/>
  </r>
  <r>
    <x v="23"/>
    <s v="Projeto"/>
    <s v="CorporativoSubstituição do iNOVA - TI (PN)"/>
    <x v="23"/>
    <x v="17"/>
    <x v="12"/>
    <x v="0"/>
    <x v="3"/>
    <m/>
    <n v="0"/>
    <n v="0"/>
  </r>
  <r>
    <x v="23"/>
    <s v="Projeto"/>
    <s v="CorporativoSubstituição do iNOVA - TI (PN)"/>
    <x v="23"/>
    <x v="17"/>
    <x v="12"/>
    <x v="0"/>
    <x v="4"/>
    <n v="1"/>
    <n v="0"/>
    <n v="0"/>
  </r>
  <r>
    <x v="23"/>
    <s v="Projeto"/>
    <s v="CorporativoSubstituição do iNOVA - TI (PN)"/>
    <x v="23"/>
    <x v="17"/>
    <x v="12"/>
    <x v="0"/>
    <x v="5"/>
    <m/>
    <n v="0"/>
    <n v="0"/>
  </r>
  <r>
    <x v="23"/>
    <s v="Projeto"/>
    <s v="CorporativoSubstituição do iNOVA - TI (PN)"/>
    <x v="23"/>
    <x v="17"/>
    <x v="12"/>
    <x v="0"/>
    <x v="6"/>
    <m/>
    <n v="0"/>
    <n v="0"/>
  </r>
  <r>
    <x v="23"/>
    <s v="Projeto"/>
    <s v="CorporativoSubstituição do iNOVA - TI (PN)"/>
    <x v="23"/>
    <x v="17"/>
    <x v="12"/>
    <x v="0"/>
    <x v="7"/>
    <m/>
    <n v="0"/>
    <n v="0"/>
  </r>
  <r>
    <x v="23"/>
    <s v="Projeto"/>
    <s v="CorporativoSubstituição do iNOVA - TI (PN)"/>
    <x v="23"/>
    <x v="17"/>
    <x v="12"/>
    <x v="0"/>
    <x v="8"/>
    <m/>
    <n v="0"/>
    <n v="0"/>
  </r>
  <r>
    <x v="23"/>
    <s v="Projeto"/>
    <s v="CorporativoSubstituição do iNOVA - TI (PN)"/>
    <x v="23"/>
    <x v="17"/>
    <x v="12"/>
    <x v="0"/>
    <x v="9"/>
    <m/>
    <n v="0"/>
    <n v="0"/>
  </r>
  <r>
    <x v="23"/>
    <s v="Projeto"/>
    <s v="CorporativoSubstituição do iNOVA - TI (PN)"/>
    <x v="23"/>
    <x v="17"/>
    <x v="12"/>
    <x v="0"/>
    <x v="10"/>
    <m/>
    <n v="0"/>
    <n v="0"/>
  </r>
  <r>
    <x v="23"/>
    <s v="Projeto"/>
    <s v="CorporativoSubstituição do iNOVA - TI (PN)"/>
    <x v="23"/>
    <x v="17"/>
    <x v="12"/>
    <x v="0"/>
    <x v="11"/>
    <m/>
    <n v="0"/>
    <n v="0"/>
  </r>
  <r>
    <x v="24"/>
    <s v="Projeto"/>
    <s v="CorporativoImplantação do Gestão de Serviços Unificado (GSC, GSO e GP) - TI - (PN)"/>
    <x v="24"/>
    <x v="18"/>
    <x v="12"/>
    <x v="0"/>
    <x v="0"/>
    <m/>
    <n v="0"/>
    <n v="0"/>
  </r>
  <r>
    <x v="24"/>
    <s v="Projeto"/>
    <s v="CorporativoImplantação do Gestão de Serviços Unificado (GSC, GSO e GP) - TI - (PN)"/>
    <x v="24"/>
    <x v="18"/>
    <x v="12"/>
    <x v="0"/>
    <x v="1"/>
    <m/>
    <n v="0"/>
    <n v="0"/>
  </r>
  <r>
    <x v="24"/>
    <s v="Projeto"/>
    <s v="CorporativoImplantação do Gestão de Serviços Unificado (GSC, GSO e GP) - TI - (PN)"/>
    <x v="24"/>
    <x v="18"/>
    <x v="12"/>
    <x v="0"/>
    <x v="2"/>
    <m/>
    <n v="0"/>
    <n v="0"/>
  </r>
  <r>
    <x v="24"/>
    <s v="Projeto"/>
    <s v="CorporativoImplantação do Gestão de Serviços Unificado (GSC, GSO e GP) - TI - (PN)"/>
    <x v="24"/>
    <x v="18"/>
    <x v="12"/>
    <x v="0"/>
    <x v="3"/>
    <m/>
    <n v="0"/>
    <n v="0"/>
  </r>
  <r>
    <x v="24"/>
    <s v="Projeto"/>
    <s v="CorporativoImplantação do Gestão de Serviços Unificado (GSC, GSO e GP) - TI - (PN)"/>
    <x v="24"/>
    <x v="18"/>
    <x v="12"/>
    <x v="0"/>
    <x v="4"/>
    <m/>
    <n v="0"/>
    <n v="0"/>
  </r>
  <r>
    <x v="24"/>
    <s v="Projeto"/>
    <s v="CorporativoImplantação do Gestão de Serviços Unificado (GSC, GSO e GP) - TI - (PN)"/>
    <x v="24"/>
    <x v="18"/>
    <x v="12"/>
    <x v="0"/>
    <x v="5"/>
    <m/>
    <n v="0"/>
    <n v="0"/>
  </r>
  <r>
    <x v="24"/>
    <s v="Projeto"/>
    <s v="CorporativoImplantação do Gestão de Serviços Unificado (GSC, GSO e GP) - TI - (PN)"/>
    <x v="24"/>
    <x v="18"/>
    <x v="12"/>
    <x v="0"/>
    <x v="6"/>
    <n v="0.25"/>
    <n v="0"/>
    <n v="0"/>
  </r>
  <r>
    <x v="24"/>
    <s v="Projeto"/>
    <s v="CorporativoImplantação do Gestão de Serviços Unificado (GSC, GSO e GP) - TI - (PN)"/>
    <x v="24"/>
    <x v="18"/>
    <x v="12"/>
    <x v="0"/>
    <x v="7"/>
    <m/>
    <n v="0"/>
    <n v="0"/>
  </r>
  <r>
    <x v="24"/>
    <s v="Projeto"/>
    <s v="CorporativoImplantação do Gestão de Serviços Unificado (GSC, GSO e GP) - TI - (PN)"/>
    <x v="24"/>
    <x v="18"/>
    <x v="12"/>
    <x v="0"/>
    <x v="8"/>
    <n v="0.25"/>
    <n v="0"/>
    <n v="0"/>
  </r>
  <r>
    <x v="24"/>
    <s v="Projeto"/>
    <s v="CorporativoImplantação do Gestão de Serviços Unificado (GSC, GSO e GP) - TI - (PN)"/>
    <x v="24"/>
    <x v="18"/>
    <x v="12"/>
    <x v="0"/>
    <x v="9"/>
    <m/>
    <n v="0"/>
    <n v="0"/>
  </r>
  <r>
    <x v="24"/>
    <s v="Projeto"/>
    <s v="CorporativoImplantação do Gestão de Serviços Unificado (GSC, GSO e GP) - TI - (PN)"/>
    <x v="24"/>
    <x v="18"/>
    <x v="12"/>
    <x v="0"/>
    <x v="10"/>
    <m/>
    <n v="0"/>
    <n v="0"/>
  </r>
  <r>
    <x v="24"/>
    <s v="Projeto"/>
    <s v="CorporativoImplantação do Gestão de Serviços Unificado (GSC, GSO e GP) - TI - (PN)"/>
    <x v="24"/>
    <x v="18"/>
    <x v="12"/>
    <x v="0"/>
    <x v="11"/>
    <n v="0.5"/>
    <n v="0"/>
    <n v="0"/>
  </r>
  <r>
    <x v="25"/>
    <s v="Projeto"/>
    <s v="CorporativoSubstituição do iNOVA – TI (ME)"/>
    <x v="25"/>
    <x v="19"/>
    <x v="13"/>
    <x v="0"/>
    <x v="0"/>
    <m/>
    <n v="0"/>
    <n v="0"/>
  </r>
  <r>
    <x v="25"/>
    <s v="Projeto"/>
    <s v="CorporativoSubstituição do iNOVA – TI (ME)"/>
    <x v="25"/>
    <x v="19"/>
    <x v="13"/>
    <x v="0"/>
    <x v="1"/>
    <m/>
    <n v="0"/>
    <n v="0"/>
  </r>
  <r>
    <x v="25"/>
    <s v="Projeto"/>
    <s v="CorporativoSubstituição do iNOVA – TI (ME)"/>
    <x v="25"/>
    <x v="19"/>
    <x v="13"/>
    <x v="0"/>
    <x v="2"/>
    <m/>
    <n v="0"/>
    <n v="0"/>
  </r>
  <r>
    <x v="25"/>
    <s v="Projeto"/>
    <s v="CorporativoSubstituição do iNOVA – TI (ME)"/>
    <x v="25"/>
    <x v="19"/>
    <x v="13"/>
    <x v="0"/>
    <x v="3"/>
    <m/>
    <n v="0"/>
    <n v="0"/>
  </r>
  <r>
    <x v="25"/>
    <s v="Projeto"/>
    <s v="CorporativoSubstituição do iNOVA – TI (ME)"/>
    <x v="25"/>
    <x v="19"/>
    <x v="13"/>
    <x v="0"/>
    <x v="4"/>
    <n v="0.8"/>
    <n v="0"/>
    <n v="0"/>
  </r>
  <r>
    <x v="25"/>
    <s v="Projeto"/>
    <s v="CorporativoSubstituição do iNOVA – TI (ME)"/>
    <x v="25"/>
    <x v="19"/>
    <x v="13"/>
    <x v="0"/>
    <x v="5"/>
    <m/>
    <n v="0"/>
    <n v="0"/>
  </r>
  <r>
    <x v="25"/>
    <s v="Projeto"/>
    <s v="CorporativoSubstituição do iNOVA – TI (ME)"/>
    <x v="25"/>
    <x v="19"/>
    <x v="13"/>
    <x v="0"/>
    <x v="6"/>
    <n v="0.2"/>
    <n v="0"/>
    <n v="0"/>
  </r>
  <r>
    <x v="25"/>
    <s v="Projeto"/>
    <s v="CorporativoSubstituição do iNOVA – TI (ME)"/>
    <x v="25"/>
    <x v="19"/>
    <x v="13"/>
    <x v="0"/>
    <x v="7"/>
    <m/>
    <n v="0"/>
    <n v="0"/>
  </r>
  <r>
    <x v="25"/>
    <s v="Projeto"/>
    <s v="CorporativoSubstituição do iNOVA – TI (ME)"/>
    <x v="25"/>
    <x v="19"/>
    <x v="13"/>
    <x v="0"/>
    <x v="8"/>
    <m/>
    <n v="0"/>
    <n v="0"/>
  </r>
  <r>
    <x v="25"/>
    <s v="Projeto"/>
    <s v="CorporativoSubstituição do iNOVA – TI (ME)"/>
    <x v="25"/>
    <x v="19"/>
    <x v="13"/>
    <x v="0"/>
    <x v="9"/>
    <m/>
    <n v="0"/>
    <n v="0"/>
  </r>
  <r>
    <x v="25"/>
    <s v="Projeto"/>
    <s v="CorporativoSubstituição do iNOVA – TI (ME)"/>
    <x v="25"/>
    <x v="19"/>
    <x v="13"/>
    <x v="0"/>
    <x v="10"/>
    <m/>
    <n v="0"/>
    <n v="0"/>
  </r>
  <r>
    <x v="25"/>
    <s v="Projeto"/>
    <s v="CorporativoSubstituição do iNOVA – TI (ME)"/>
    <x v="25"/>
    <x v="19"/>
    <x v="13"/>
    <x v="0"/>
    <x v="11"/>
    <m/>
    <n v="0"/>
    <n v="0"/>
  </r>
  <r>
    <x v="26"/>
    <s v="Projeto"/>
    <s v="CorporativoAssessment de Maturidade do Microsoft Azure Devops (ME)"/>
    <x v="26"/>
    <x v="20"/>
    <x v="13"/>
    <x v="0"/>
    <x v="0"/>
    <m/>
    <n v="0"/>
    <n v="0"/>
  </r>
  <r>
    <x v="26"/>
    <s v="Projeto"/>
    <s v="CorporativoAssessment de Maturidade do Microsoft Azure Devops (ME)"/>
    <x v="26"/>
    <x v="20"/>
    <x v="13"/>
    <x v="0"/>
    <x v="1"/>
    <m/>
    <n v="0"/>
    <n v="0"/>
  </r>
  <r>
    <x v="26"/>
    <s v="Projeto"/>
    <s v="CorporativoAssessment de Maturidade do Microsoft Azure Devops (ME)"/>
    <x v="26"/>
    <x v="20"/>
    <x v="13"/>
    <x v="0"/>
    <x v="2"/>
    <m/>
    <n v="0"/>
    <n v="0"/>
  </r>
  <r>
    <x v="26"/>
    <s v="Projeto"/>
    <s v="CorporativoAssessment de Maturidade do Microsoft Azure Devops (ME)"/>
    <x v="26"/>
    <x v="20"/>
    <x v="13"/>
    <x v="0"/>
    <x v="3"/>
    <m/>
    <n v="0"/>
    <n v="0"/>
  </r>
  <r>
    <x v="26"/>
    <s v="Projeto"/>
    <s v="CorporativoAssessment de Maturidade do Microsoft Azure Devops (ME)"/>
    <x v="26"/>
    <x v="20"/>
    <x v="13"/>
    <x v="0"/>
    <x v="4"/>
    <m/>
    <n v="0"/>
    <n v="0"/>
  </r>
  <r>
    <x v="26"/>
    <s v="Projeto"/>
    <s v="CorporativoAssessment de Maturidade do Microsoft Azure Devops (ME)"/>
    <x v="26"/>
    <x v="20"/>
    <x v="13"/>
    <x v="0"/>
    <x v="5"/>
    <m/>
    <n v="0"/>
    <n v="0"/>
  </r>
  <r>
    <x v="26"/>
    <s v="Projeto"/>
    <s v="CorporativoAssessment de Maturidade do Microsoft Azure Devops (ME)"/>
    <x v="26"/>
    <x v="20"/>
    <x v="13"/>
    <x v="0"/>
    <x v="6"/>
    <m/>
    <n v="0"/>
    <n v="0"/>
  </r>
  <r>
    <x v="26"/>
    <s v="Projeto"/>
    <s v="CorporativoAssessment de Maturidade do Microsoft Azure Devops (ME)"/>
    <x v="26"/>
    <x v="20"/>
    <x v="13"/>
    <x v="0"/>
    <x v="7"/>
    <m/>
    <n v="0"/>
    <n v="0"/>
  </r>
  <r>
    <x v="26"/>
    <s v="Projeto"/>
    <s v="CorporativoAssessment de Maturidade do Microsoft Azure Devops (ME)"/>
    <x v="26"/>
    <x v="20"/>
    <x v="13"/>
    <x v="0"/>
    <x v="8"/>
    <m/>
    <n v="0"/>
    <n v="0"/>
  </r>
  <r>
    <x v="26"/>
    <s v="Projeto"/>
    <s v="CorporativoAssessment de Maturidade do Microsoft Azure Devops (ME)"/>
    <x v="26"/>
    <x v="20"/>
    <x v="13"/>
    <x v="0"/>
    <x v="9"/>
    <m/>
    <n v="0"/>
    <n v="0"/>
  </r>
  <r>
    <x v="26"/>
    <s v="Projeto"/>
    <s v="CorporativoAssessment de Maturidade do Microsoft Azure Devops (ME)"/>
    <x v="26"/>
    <x v="20"/>
    <x v="13"/>
    <x v="0"/>
    <x v="10"/>
    <n v="1"/>
    <n v="0"/>
    <n v="0"/>
  </r>
  <r>
    <x v="26"/>
    <s v="Projeto"/>
    <s v="CorporativoAssessment de Maturidade do Microsoft Azure Devops (ME)"/>
    <x v="26"/>
    <x v="20"/>
    <x v="13"/>
    <x v="0"/>
    <x v="11"/>
    <m/>
    <n v="0"/>
    <n v="0"/>
  </r>
  <r>
    <x v="27"/>
    <s v="Projeto"/>
    <s v="CorporativoAumento da disponibilidade e segurança dos serviços de tecnologia que dependem de integração (ME)"/>
    <x v="27"/>
    <x v="21"/>
    <x v="13"/>
    <x v="0"/>
    <x v="0"/>
    <m/>
    <n v="0"/>
    <n v="0"/>
  </r>
  <r>
    <x v="27"/>
    <s v="Projeto"/>
    <s v="CorporativoAumento da disponibilidade e segurança dos serviços de tecnologia que dependem de integração (ME)"/>
    <x v="27"/>
    <x v="21"/>
    <x v="13"/>
    <x v="0"/>
    <x v="1"/>
    <m/>
    <n v="0"/>
    <n v="0"/>
  </r>
  <r>
    <x v="27"/>
    <s v="Projeto"/>
    <s v="CorporativoAumento da disponibilidade e segurança dos serviços de tecnologia que dependem de integração (ME)"/>
    <x v="27"/>
    <x v="21"/>
    <x v="13"/>
    <x v="0"/>
    <x v="2"/>
    <m/>
    <n v="0"/>
    <n v="0"/>
  </r>
  <r>
    <x v="27"/>
    <s v="Projeto"/>
    <s v="CorporativoAumento da disponibilidade e segurança dos serviços de tecnologia que dependem de integração (ME)"/>
    <x v="27"/>
    <x v="21"/>
    <x v="13"/>
    <x v="0"/>
    <x v="3"/>
    <m/>
    <n v="0"/>
    <n v="0"/>
  </r>
  <r>
    <x v="27"/>
    <s v="Projeto"/>
    <s v="CorporativoAumento da disponibilidade e segurança dos serviços de tecnologia que dependem de integração (ME)"/>
    <x v="27"/>
    <x v="21"/>
    <x v="13"/>
    <x v="0"/>
    <x v="4"/>
    <m/>
    <n v="0"/>
    <n v="0"/>
  </r>
  <r>
    <x v="27"/>
    <s v="Projeto"/>
    <s v="CorporativoAumento da disponibilidade e segurança dos serviços de tecnologia que dependem de integração (ME)"/>
    <x v="27"/>
    <x v="21"/>
    <x v="13"/>
    <x v="0"/>
    <x v="5"/>
    <m/>
    <n v="0"/>
    <n v="0"/>
  </r>
  <r>
    <x v="27"/>
    <s v="Projeto"/>
    <s v="CorporativoAumento da disponibilidade e segurança dos serviços de tecnologia que dependem de integração (ME)"/>
    <x v="27"/>
    <x v="21"/>
    <x v="13"/>
    <x v="0"/>
    <x v="6"/>
    <m/>
    <n v="0"/>
    <n v="0"/>
  </r>
  <r>
    <x v="27"/>
    <s v="Projeto"/>
    <s v="CorporativoAumento da disponibilidade e segurança dos serviços de tecnologia que dependem de integração (ME)"/>
    <x v="27"/>
    <x v="21"/>
    <x v="13"/>
    <x v="0"/>
    <x v="7"/>
    <m/>
    <n v="0"/>
    <n v="0"/>
  </r>
  <r>
    <x v="27"/>
    <s v="Projeto"/>
    <s v="CorporativoAumento da disponibilidade e segurança dos serviços de tecnologia que dependem de integração (ME)"/>
    <x v="27"/>
    <x v="21"/>
    <x v="13"/>
    <x v="0"/>
    <x v="8"/>
    <n v="0.5"/>
    <n v="0"/>
    <n v="0"/>
  </r>
  <r>
    <x v="27"/>
    <s v="Projeto"/>
    <s v="CorporativoAumento da disponibilidade e segurança dos serviços de tecnologia que dependem de integração (ME)"/>
    <x v="27"/>
    <x v="21"/>
    <x v="13"/>
    <x v="0"/>
    <x v="9"/>
    <m/>
    <n v="0"/>
    <n v="0"/>
  </r>
  <r>
    <x v="27"/>
    <s v="Projeto"/>
    <s v="CorporativoAumento da disponibilidade e segurança dos serviços de tecnologia que dependem de integração (ME)"/>
    <x v="27"/>
    <x v="21"/>
    <x v="13"/>
    <x v="0"/>
    <x v="10"/>
    <m/>
    <n v="0"/>
    <n v="0"/>
  </r>
  <r>
    <x v="27"/>
    <s v="Projeto"/>
    <s v="CorporativoAumento da disponibilidade e segurança dos serviços de tecnologia que dependem de integração (ME)"/>
    <x v="27"/>
    <x v="21"/>
    <x v="13"/>
    <x v="0"/>
    <x v="11"/>
    <n v="0.5"/>
    <n v="0"/>
    <n v="0"/>
  </r>
  <r>
    <x v="28"/>
    <s v="Satisfação"/>
    <s v="CorporativoCumprimento ao SLA de Satisfação TI (%): Infraestrutura de TI/Redes"/>
    <x v="28"/>
    <x v="10"/>
    <x v="14"/>
    <x v="0"/>
    <x v="0"/>
    <m/>
    <n v="0"/>
    <n v="0"/>
  </r>
  <r>
    <x v="28"/>
    <s v="Satisfação"/>
    <s v="CorporativoCumprimento ao SLA de Satisfação TI (%): Infraestrutura de TI/Redes"/>
    <x v="28"/>
    <x v="10"/>
    <x v="14"/>
    <x v="0"/>
    <x v="1"/>
    <m/>
    <n v="0"/>
    <n v="0"/>
  </r>
  <r>
    <x v="28"/>
    <s v="Satisfação"/>
    <s v="CorporativoCumprimento ao SLA de Satisfação TI (%): Infraestrutura de TI/Redes"/>
    <x v="28"/>
    <x v="10"/>
    <x v="14"/>
    <x v="0"/>
    <x v="2"/>
    <m/>
    <n v="0"/>
    <n v="0"/>
  </r>
  <r>
    <x v="28"/>
    <s v="Satisfação"/>
    <s v="CorporativoCumprimento ao SLA de Satisfação TI (%): Infraestrutura de TI/Redes"/>
    <x v="28"/>
    <x v="10"/>
    <x v="14"/>
    <x v="0"/>
    <x v="3"/>
    <m/>
    <n v="0"/>
    <n v="0"/>
  </r>
  <r>
    <x v="28"/>
    <s v="Satisfação"/>
    <s v="CorporativoCumprimento ao SLA de Satisfação TI (%): Infraestrutura de TI/Redes"/>
    <x v="28"/>
    <x v="10"/>
    <x v="14"/>
    <x v="0"/>
    <x v="4"/>
    <m/>
    <n v="0"/>
    <n v="0"/>
  </r>
  <r>
    <x v="28"/>
    <s v="Satisfação"/>
    <s v="CorporativoCumprimento ao SLA de Satisfação TI (%): Infraestrutura de TI/Redes"/>
    <x v="28"/>
    <x v="10"/>
    <x v="14"/>
    <x v="0"/>
    <x v="5"/>
    <m/>
    <n v="0"/>
    <n v="0"/>
  </r>
  <r>
    <x v="28"/>
    <s v="Satisfação"/>
    <s v="CorporativoCumprimento ao SLA de Satisfação TI (%): Infraestrutura de TI/Redes"/>
    <x v="28"/>
    <x v="10"/>
    <x v="14"/>
    <x v="0"/>
    <x v="6"/>
    <m/>
    <n v="0"/>
    <n v="0"/>
  </r>
  <r>
    <x v="28"/>
    <s v="Satisfação"/>
    <s v="CorporativoCumprimento ao SLA de Satisfação TI (%): Infraestrutura de TI/Redes"/>
    <x v="28"/>
    <x v="10"/>
    <x v="14"/>
    <x v="0"/>
    <x v="7"/>
    <m/>
    <n v="0"/>
    <n v="0"/>
  </r>
  <r>
    <x v="28"/>
    <s v="Satisfação"/>
    <s v="CorporativoCumprimento ao SLA de Satisfação TI (%): Infraestrutura de TI/Redes"/>
    <x v="28"/>
    <x v="10"/>
    <x v="14"/>
    <x v="0"/>
    <x v="8"/>
    <m/>
    <n v="0"/>
    <n v="0"/>
  </r>
  <r>
    <x v="28"/>
    <s v="Satisfação"/>
    <s v="CorporativoCumprimento ao SLA de Satisfação TI (%): Infraestrutura de TI/Redes"/>
    <x v="28"/>
    <x v="10"/>
    <x v="14"/>
    <x v="0"/>
    <x v="9"/>
    <m/>
    <n v="0"/>
    <n v="0"/>
  </r>
  <r>
    <x v="28"/>
    <s v="Satisfação"/>
    <s v="CorporativoCumprimento ao SLA de Satisfação TI (%): Infraestrutura de TI/Redes"/>
    <x v="28"/>
    <x v="10"/>
    <x v="14"/>
    <x v="0"/>
    <x v="10"/>
    <m/>
    <n v="0"/>
    <n v="0"/>
  </r>
  <r>
    <x v="28"/>
    <s v="Satisfação"/>
    <s v="CorporativoCumprimento ao SLA de Satisfação TI (%): Infraestrutura de TI/Redes"/>
    <x v="28"/>
    <x v="10"/>
    <x v="14"/>
    <x v="0"/>
    <x v="11"/>
    <m/>
    <n v="0"/>
    <n v="0"/>
  </r>
  <r>
    <x v="29"/>
    <s v="Suporte"/>
    <s v="CorporativoCumprimento ao SLA de Incidentes de TI (%): Infraestrutura de TI/Redes"/>
    <x v="29"/>
    <x v="10"/>
    <x v="14"/>
    <x v="0"/>
    <x v="0"/>
    <m/>
    <n v="0"/>
    <n v="0"/>
  </r>
  <r>
    <x v="29"/>
    <s v="Suporte"/>
    <s v="CorporativoCumprimento ao SLA de Incidentes de TI (%): Infraestrutura de TI/Redes"/>
    <x v="29"/>
    <x v="10"/>
    <x v="14"/>
    <x v="0"/>
    <x v="1"/>
    <m/>
    <n v="0"/>
    <n v="0"/>
  </r>
  <r>
    <x v="29"/>
    <s v="Suporte"/>
    <s v="CorporativoCumprimento ao SLA de Incidentes de TI (%): Infraestrutura de TI/Redes"/>
    <x v="29"/>
    <x v="10"/>
    <x v="14"/>
    <x v="0"/>
    <x v="2"/>
    <m/>
    <n v="0"/>
    <n v="0"/>
  </r>
  <r>
    <x v="29"/>
    <s v="Suporte"/>
    <s v="CorporativoCumprimento ao SLA de Incidentes de TI (%): Infraestrutura de TI/Redes"/>
    <x v="29"/>
    <x v="10"/>
    <x v="14"/>
    <x v="0"/>
    <x v="3"/>
    <m/>
    <n v="0"/>
    <n v="0"/>
  </r>
  <r>
    <x v="29"/>
    <s v="Suporte"/>
    <s v="CorporativoCumprimento ao SLA de Incidentes de TI (%): Infraestrutura de TI/Redes"/>
    <x v="29"/>
    <x v="10"/>
    <x v="14"/>
    <x v="0"/>
    <x v="4"/>
    <m/>
    <n v="0"/>
    <n v="0"/>
  </r>
  <r>
    <x v="29"/>
    <s v="Suporte"/>
    <s v="CorporativoCumprimento ao SLA de Incidentes de TI (%): Infraestrutura de TI/Redes"/>
    <x v="29"/>
    <x v="10"/>
    <x v="14"/>
    <x v="0"/>
    <x v="5"/>
    <m/>
    <n v="0"/>
    <n v="0"/>
  </r>
  <r>
    <x v="29"/>
    <s v="Suporte"/>
    <s v="CorporativoCumprimento ao SLA de Incidentes de TI (%): Infraestrutura de TI/Redes"/>
    <x v="29"/>
    <x v="10"/>
    <x v="14"/>
    <x v="0"/>
    <x v="6"/>
    <m/>
    <n v="0"/>
    <n v="0"/>
  </r>
  <r>
    <x v="29"/>
    <s v="Suporte"/>
    <s v="CorporativoCumprimento ao SLA de Incidentes de TI (%): Infraestrutura de TI/Redes"/>
    <x v="29"/>
    <x v="10"/>
    <x v="14"/>
    <x v="0"/>
    <x v="7"/>
    <m/>
    <n v="0"/>
    <n v="0"/>
  </r>
  <r>
    <x v="29"/>
    <s v="Suporte"/>
    <s v="CorporativoCumprimento ao SLA de Incidentes de TI (%): Infraestrutura de TI/Redes"/>
    <x v="29"/>
    <x v="10"/>
    <x v="14"/>
    <x v="0"/>
    <x v="8"/>
    <m/>
    <n v="0"/>
    <n v="0"/>
  </r>
  <r>
    <x v="29"/>
    <s v="Suporte"/>
    <s v="CorporativoCumprimento ao SLA de Incidentes de TI (%): Infraestrutura de TI/Redes"/>
    <x v="29"/>
    <x v="10"/>
    <x v="14"/>
    <x v="0"/>
    <x v="9"/>
    <m/>
    <n v="0"/>
    <n v="0"/>
  </r>
  <r>
    <x v="29"/>
    <s v="Suporte"/>
    <s v="CorporativoCumprimento ao SLA de Incidentes de TI (%): Infraestrutura de TI/Redes"/>
    <x v="29"/>
    <x v="10"/>
    <x v="14"/>
    <x v="0"/>
    <x v="10"/>
    <m/>
    <n v="0"/>
    <n v="0"/>
  </r>
  <r>
    <x v="29"/>
    <s v="Suporte"/>
    <s v="CorporativoCumprimento ao SLA de Incidentes de TI (%): Infraestrutura de TI/Redes"/>
    <x v="29"/>
    <x v="10"/>
    <x v="14"/>
    <x v="0"/>
    <x v="11"/>
    <m/>
    <n v="0"/>
    <n v="0"/>
  </r>
  <r>
    <x v="30"/>
    <s v="Projeto"/>
    <s v="CorporativoExecução do Projeto Melhorias de Rede SAAL/SAAB e CAN"/>
    <x v="30"/>
    <x v="22"/>
    <x v="14"/>
    <x v="0"/>
    <x v="0"/>
    <m/>
    <n v="0"/>
    <n v="0"/>
  </r>
  <r>
    <x v="30"/>
    <s v="Projeto"/>
    <s v="CorporativoExecução do Projeto Melhorias de Rede SAAL/SAAB e CAN"/>
    <x v="30"/>
    <x v="22"/>
    <x v="14"/>
    <x v="0"/>
    <x v="1"/>
    <m/>
    <n v="0"/>
    <n v="0"/>
  </r>
  <r>
    <x v="30"/>
    <s v="Projeto"/>
    <s v="CorporativoExecução do Projeto Melhorias de Rede SAAL/SAAB e CAN"/>
    <x v="30"/>
    <x v="22"/>
    <x v="14"/>
    <x v="0"/>
    <x v="2"/>
    <m/>
    <n v="0"/>
    <n v="0"/>
  </r>
  <r>
    <x v="30"/>
    <s v="Projeto"/>
    <s v="CorporativoExecução do Projeto Melhorias de Rede SAAL/SAAB e CAN"/>
    <x v="30"/>
    <x v="22"/>
    <x v="14"/>
    <x v="0"/>
    <x v="3"/>
    <m/>
    <n v="0"/>
    <n v="0"/>
  </r>
  <r>
    <x v="30"/>
    <s v="Projeto"/>
    <s v="CorporativoExecução do Projeto Melhorias de Rede SAAL/SAAB e CAN"/>
    <x v="30"/>
    <x v="22"/>
    <x v="14"/>
    <x v="0"/>
    <x v="4"/>
    <m/>
    <n v="0"/>
    <n v="0"/>
  </r>
  <r>
    <x v="30"/>
    <s v="Projeto"/>
    <s v="CorporativoExecução do Projeto Melhorias de Rede SAAL/SAAB e CAN"/>
    <x v="30"/>
    <x v="22"/>
    <x v="14"/>
    <x v="0"/>
    <x v="5"/>
    <m/>
    <n v="0"/>
    <n v="0"/>
  </r>
  <r>
    <x v="30"/>
    <s v="Projeto"/>
    <s v="CorporativoExecução do Projeto Melhorias de Rede SAAL/SAAB e CAN"/>
    <x v="30"/>
    <x v="22"/>
    <x v="14"/>
    <x v="0"/>
    <x v="6"/>
    <m/>
    <n v="0"/>
    <n v="0"/>
  </r>
  <r>
    <x v="30"/>
    <s v="Projeto"/>
    <s v="CorporativoExecução do Projeto Melhorias de Rede SAAL/SAAB e CAN"/>
    <x v="30"/>
    <x v="22"/>
    <x v="14"/>
    <x v="0"/>
    <x v="7"/>
    <m/>
    <n v="0"/>
    <n v="0"/>
  </r>
  <r>
    <x v="30"/>
    <s v="Projeto"/>
    <s v="CorporativoExecução do Projeto Melhorias de Rede SAAL/SAAB e CAN"/>
    <x v="30"/>
    <x v="22"/>
    <x v="14"/>
    <x v="0"/>
    <x v="8"/>
    <m/>
    <n v="0"/>
    <n v="0"/>
  </r>
  <r>
    <x v="30"/>
    <s v="Projeto"/>
    <s v="CorporativoExecução do Projeto Melhorias de Rede SAAL/SAAB e CAN"/>
    <x v="30"/>
    <x v="22"/>
    <x v="14"/>
    <x v="0"/>
    <x v="9"/>
    <m/>
    <n v="0"/>
    <n v="0"/>
  </r>
  <r>
    <x v="30"/>
    <s v="Projeto"/>
    <s v="CorporativoExecução do Projeto Melhorias de Rede SAAL/SAAB e CAN"/>
    <x v="30"/>
    <x v="22"/>
    <x v="14"/>
    <x v="0"/>
    <x v="10"/>
    <m/>
    <n v="0"/>
    <n v="0"/>
  </r>
  <r>
    <x v="30"/>
    <s v="Projeto"/>
    <s v="CorporativoExecução do Projeto Melhorias de Rede SAAL/SAAB e CAN"/>
    <x v="30"/>
    <x v="22"/>
    <x v="14"/>
    <x v="0"/>
    <x v="11"/>
    <n v="1"/>
    <n v="0"/>
    <n v="0"/>
  </r>
  <r>
    <x v="31"/>
    <s v="Projeto"/>
    <s v="CorporativoExecução do Projeto Melhorias de Rede - Concessão"/>
    <x v="31"/>
    <x v="23"/>
    <x v="14"/>
    <x v="0"/>
    <x v="0"/>
    <m/>
    <n v="0"/>
    <n v="0"/>
  </r>
  <r>
    <x v="31"/>
    <s v="Projeto"/>
    <s v="CorporativoExecução do Projeto Melhorias de Rede - Concessão"/>
    <x v="31"/>
    <x v="23"/>
    <x v="14"/>
    <x v="0"/>
    <x v="1"/>
    <m/>
    <n v="0"/>
    <n v="0"/>
  </r>
  <r>
    <x v="31"/>
    <s v="Projeto"/>
    <s v="CorporativoExecução do Projeto Melhorias de Rede - Concessão"/>
    <x v="31"/>
    <x v="23"/>
    <x v="14"/>
    <x v="0"/>
    <x v="2"/>
    <m/>
    <n v="0"/>
    <n v="0"/>
  </r>
  <r>
    <x v="31"/>
    <s v="Projeto"/>
    <s v="CorporativoExecução do Projeto Melhorias de Rede - Concessão"/>
    <x v="31"/>
    <x v="23"/>
    <x v="14"/>
    <x v="0"/>
    <x v="3"/>
    <m/>
    <n v="0"/>
    <n v="0"/>
  </r>
  <r>
    <x v="31"/>
    <s v="Projeto"/>
    <s v="CorporativoExecução do Projeto Melhorias de Rede - Concessão"/>
    <x v="31"/>
    <x v="23"/>
    <x v="14"/>
    <x v="0"/>
    <x v="4"/>
    <m/>
    <n v="0"/>
    <n v="0"/>
  </r>
  <r>
    <x v="31"/>
    <s v="Projeto"/>
    <s v="CorporativoExecução do Projeto Melhorias de Rede - Concessão"/>
    <x v="31"/>
    <x v="23"/>
    <x v="14"/>
    <x v="0"/>
    <x v="5"/>
    <m/>
    <n v="0"/>
    <n v="0"/>
  </r>
  <r>
    <x v="31"/>
    <s v="Projeto"/>
    <s v="CorporativoExecução do Projeto Melhorias de Rede - Concessão"/>
    <x v="31"/>
    <x v="23"/>
    <x v="14"/>
    <x v="0"/>
    <x v="6"/>
    <m/>
    <n v="0"/>
    <n v="0"/>
  </r>
  <r>
    <x v="31"/>
    <s v="Projeto"/>
    <s v="CorporativoExecução do Projeto Melhorias de Rede - Concessão"/>
    <x v="31"/>
    <x v="23"/>
    <x v="14"/>
    <x v="0"/>
    <x v="7"/>
    <m/>
    <n v="0"/>
    <n v="0"/>
  </r>
  <r>
    <x v="31"/>
    <s v="Projeto"/>
    <s v="CorporativoExecução do Projeto Melhorias de Rede - Concessão"/>
    <x v="31"/>
    <x v="23"/>
    <x v="14"/>
    <x v="0"/>
    <x v="8"/>
    <m/>
    <n v="0"/>
    <n v="0"/>
  </r>
  <r>
    <x v="31"/>
    <s v="Projeto"/>
    <s v="CorporativoExecução do Projeto Melhorias de Rede - Concessão"/>
    <x v="31"/>
    <x v="23"/>
    <x v="14"/>
    <x v="0"/>
    <x v="9"/>
    <m/>
    <n v="0"/>
    <n v="0"/>
  </r>
  <r>
    <x v="31"/>
    <s v="Projeto"/>
    <s v="CorporativoExecução do Projeto Melhorias de Rede - Concessão"/>
    <x v="31"/>
    <x v="23"/>
    <x v="14"/>
    <x v="0"/>
    <x v="10"/>
    <m/>
    <n v="0"/>
    <n v="0"/>
  </r>
  <r>
    <x v="31"/>
    <s v="Projeto"/>
    <s v="CorporativoExecução do Projeto Melhorias de Rede - Concessão"/>
    <x v="31"/>
    <x v="23"/>
    <x v="14"/>
    <x v="0"/>
    <x v="11"/>
    <n v="1"/>
    <n v="0"/>
    <n v="0"/>
  </r>
  <r>
    <x v="32"/>
    <s v="Projeto"/>
    <s v="CorporativoAtualização tecnológica do sistema de ticket (avaliação de ferramentas, poc, escolha e implantação de um software de ticket)"/>
    <x v="32"/>
    <x v="24"/>
    <x v="15"/>
    <x v="0"/>
    <x v="0"/>
    <m/>
    <n v="0"/>
    <n v="0"/>
  </r>
  <r>
    <x v="32"/>
    <s v="Projeto"/>
    <s v="CorporativoAtualização tecnológica do sistema de ticket (avaliação de ferramentas, poc, escolha e implantação de um software de ticket)"/>
    <x v="32"/>
    <x v="24"/>
    <x v="15"/>
    <x v="0"/>
    <x v="1"/>
    <m/>
    <n v="0"/>
    <n v="0"/>
  </r>
  <r>
    <x v="32"/>
    <s v="Projeto"/>
    <s v="CorporativoAtualização tecnológica do sistema de ticket (avaliação de ferramentas, poc, escolha e implantação de um software de ticket)"/>
    <x v="32"/>
    <x v="24"/>
    <x v="15"/>
    <x v="0"/>
    <x v="2"/>
    <m/>
    <n v="0"/>
    <n v="0"/>
  </r>
  <r>
    <x v="32"/>
    <s v="Projeto"/>
    <s v="CorporativoAtualização tecnológica do sistema de ticket (avaliação de ferramentas, poc, escolha e implantação de um software de ticket)"/>
    <x v="32"/>
    <x v="24"/>
    <x v="15"/>
    <x v="0"/>
    <x v="3"/>
    <m/>
    <n v="0"/>
    <n v="0"/>
  </r>
  <r>
    <x v="32"/>
    <s v="Projeto"/>
    <s v="CorporativoAtualização tecnológica do sistema de ticket (avaliação de ferramentas, poc, escolha e implantação de um software de ticket)"/>
    <x v="32"/>
    <x v="24"/>
    <x v="15"/>
    <x v="0"/>
    <x v="4"/>
    <m/>
    <n v="0"/>
    <n v="0"/>
  </r>
  <r>
    <x v="32"/>
    <s v="Projeto"/>
    <s v="CorporativoAtualização tecnológica do sistema de ticket (avaliação de ferramentas, poc, escolha e implantação de um software de ticket)"/>
    <x v="32"/>
    <x v="24"/>
    <x v="15"/>
    <x v="0"/>
    <x v="5"/>
    <m/>
    <n v="0"/>
    <n v="0"/>
  </r>
  <r>
    <x v="32"/>
    <s v="Projeto"/>
    <s v="CorporativoAtualização tecnológica do sistema de ticket (avaliação de ferramentas, poc, escolha e implantação de um software de ticket)"/>
    <x v="32"/>
    <x v="24"/>
    <x v="15"/>
    <x v="0"/>
    <x v="6"/>
    <m/>
    <n v="0"/>
    <n v="0"/>
  </r>
  <r>
    <x v="32"/>
    <s v="Projeto"/>
    <s v="CorporativoAtualização tecnológica do sistema de ticket (avaliação de ferramentas, poc, escolha e implantação de um software de ticket)"/>
    <x v="32"/>
    <x v="24"/>
    <x v="15"/>
    <x v="0"/>
    <x v="7"/>
    <m/>
    <n v="0"/>
    <n v="0"/>
  </r>
  <r>
    <x v="32"/>
    <s v="Projeto"/>
    <s v="CorporativoAtualização tecnológica do sistema de ticket (avaliação de ferramentas, poc, escolha e implantação de um software de ticket)"/>
    <x v="32"/>
    <x v="24"/>
    <x v="15"/>
    <x v="0"/>
    <x v="8"/>
    <m/>
    <n v="0"/>
    <n v="0"/>
  </r>
  <r>
    <x v="32"/>
    <s v="Projeto"/>
    <s v="CorporativoAtualização tecnológica do sistema de ticket (avaliação de ferramentas, poc, escolha e implantação de um software de ticket)"/>
    <x v="32"/>
    <x v="24"/>
    <x v="15"/>
    <x v="0"/>
    <x v="9"/>
    <m/>
    <n v="0"/>
    <n v="0"/>
  </r>
  <r>
    <x v="32"/>
    <s v="Projeto"/>
    <s v="CorporativoAtualização tecnológica do sistema de ticket (avaliação de ferramentas, poc, escolha e implantação de um software de ticket)"/>
    <x v="32"/>
    <x v="24"/>
    <x v="15"/>
    <x v="0"/>
    <x v="10"/>
    <m/>
    <n v="0"/>
    <n v="0"/>
  </r>
  <r>
    <x v="32"/>
    <s v="Projeto"/>
    <s v="CorporativoAtualização tecnológica do sistema de ticket (avaliação de ferramentas, poc, escolha e implantação de um software de ticket)"/>
    <x v="32"/>
    <x v="24"/>
    <x v="15"/>
    <x v="0"/>
    <x v="11"/>
    <n v="1"/>
    <n v="0"/>
    <n v="0"/>
  </r>
  <r>
    <x v="33"/>
    <s v="Satisfação"/>
    <s v="CorporativoCumprimento ao SLA de Satisfação TI (%): Infraestrutura de TI/Serviços (Estação de Trabalho)"/>
    <x v="33"/>
    <x v="10"/>
    <x v="15"/>
    <x v="0"/>
    <x v="0"/>
    <m/>
    <n v="0"/>
    <n v="0"/>
  </r>
  <r>
    <x v="33"/>
    <s v="Satisfação"/>
    <s v="CorporativoCumprimento ao SLA de Satisfação TI (%): Infraestrutura de TI/Serviços (Estação de Trabalho)"/>
    <x v="33"/>
    <x v="10"/>
    <x v="15"/>
    <x v="0"/>
    <x v="1"/>
    <m/>
    <n v="0"/>
    <n v="0"/>
  </r>
  <r>
    <x v="33"/>
    <s v="Satisfação"/>
    <s v="CorporativoCumprimento ao SLA de Satisfação TI (%): Infraestrutura de TI/Serviços (Estação de Trabalho)"/>
    <x v="33"/>
    <x v="10"/>
    <x v="15"/>
    <x v="0"/>
    <x v="2"/>
    <m/>
    <n v="0"/>
    <n v="0"/>
  </r>
  <r>
    <x v="33"/>
    <s v="Satisfação"/>
    <s v="CorporativoCumprimento ao SLA de Satisfação TI (%): Infraestrutura de TI/Serviços (Estação de Trabalho)"/>
    <x v="33"/>
    <x v="10"/>
    <x v="15"/>
    <x v="0"/>
    <x v="3"/>
    <m/>
    <n v="0"/>
    <n v="0"/>
  </r>
  <r>
    <x v="33"/>
    <s v="Satisfação"/>
    <s v="CorporativoCumprimento ao SLA de Satisfação TI (%): Infraestrutura de TI/Serviços (Estação de Trabalho)"/>
    <x v="33"/>
    <x v="10"/>
    <x v="15"/>
    <x v="0"/>
    <x v="4"/>
    <m/>
    <n v="0"/>
    <n v="0"/>
  </r>
  <r>
    <x v="33"/>
    <s v="Satisfação"/>
    <s v="CorporativoCumprimento ao SLA de Satisfação TI (%): Infraestrutura de TI/Serviços (Estação de Trabalho)"/>
    <x v="33"/>
    <x v="10"/>
    <x v="15"/>
    <x v="0"/>
    <x v="5"/>
    <m/>
    <n v="0"/>
    <n v="0"/>
  </r>
  <r>
    <x v="33"/>
    <s v="Satisfação"/>
    <s v="CorporativoCumprimento ao SLA de Satisfação TI (%): Infraestrutura de TI/Serviços (Estação de Trabalho)"/>
    <x v="33"/>
    <x v="10"/>
    <x v="15"/>
    <x v="0"/>
    <x v="6"/>
    <m/>
    <n v="0"/>
    <n v="0"/>
  </r>
  <r>
    <x v="33"/>
    <s v="Satisfação"/>
    <s v="CorporativoCumprimento ao SLA de Satisfação TI (%): Infraestrutura de TI/Serviços (Estação de Trabalho)"/>
    <x v="33"/>
    <x v="10"/>
    <x v="15"/>
    <x v="0"/>
    <x v="7"/>
    <m/>
    <n v="0"/>
    <n v="0"/>
  </r>
  <r>
    <x v="33"/>
    <s v="Satisfação"/>
    <s v="CorporativoCumprimento ao SLA de Satisfação TI (%): Infraestrutura de TI/Serviços (Estação de Trabalho)"/>
    <x v="33"/>
    <x v="10"/>
    <x v="15"/>
    <x v="0"/>
    <x v="8"/>
    <m/>
    <n v="0"/>
    <n v="0"/>
  </r>
  <r>
    <x v="33"/>
    <s v="Satisfação"/>
    <s v="CorporativoCumprimento ao SLA de Satisfação TI (%): Infraestrutura de TI/Serviços (Estação de Trabalho)"/>
    <x v="33"/>
    <x v="10"/>
    <x v="15"/>
    <x v="0"/>
    <x v="9"/>
    <m/>
    <n v="0"/>
    <n v="0"/>
  </r>
  <r>
    <x v="33"/>
    <s v="Satisfação"/>
    <s v="CorporativoCumprimento ao SLA de Satisfação TI (%): Infraestrutura de TI/Serviços (Estação de Trabalho)"/>
    <x v="33"/>
    <x v="10"/>
    <x v="15"/>
    <x v="0"/>
    <x v="10"/>
    <m/>
    <n v="0"/>
    <n v="0"/>
  </r>
  <r>
    <x v="33"/>
    <s v="Satisfação"/>
    <s v="CorporativoCumprimento ao SLA de Satisfação TI (%): Infraestrutura de TI/Serviços (Estação de Trabalho)"/>
    <x v="33"/>
    <x v="10"/>
    <x v="15"/>
    <x v="0"/>
    <x v="11"/>
    <m/>
    <n v="0"/>
    <n v="0"/>
  </r>
  <r>
    <x v="34"/>
    <s v="Suporte"/>
    <s v="CorporativoCumprimento ao SLA de Incidentes de TI (%): Infraestrutura de TI/Serviços (Estação de Trabalho)"/>
    <x v="34"/>
    <x v="10"/>
    <x v="15"/>
    <x v="0"/>
    <x v="0"/>
    <m/>
    <n v="0"/>
    <n v="0"/>
  </r>
  <r>
    <x v="34"/>
    <s v="Suporte"/>
    <s v="CorporativoCumprimento ao SLA de Incidentes de TI (%): Infraestrutura de TI/Serviços (Estação de Trabalho)"/>
    <x v="34"/>
    <x v="10"/>
    <x v="15"/>
    <x v="0"/>
    <x v="1"/>
    <m/>
    <n v="0"/>
    <n v="0"/>
  </r>
  <r>
    <x v="34"/>
    <s v="Suporte"/>
    <s v="CorporativoCumprimento ao SLA de Incidentes de TI (%): Infraestrutura de TI/Serviços (Estação de Trabalho)"/>
    <x v="34"/>
    <x v="10"/>
    <x v="15"/>
    <x v="0"/>
    <x v="2"/>
    <m/>
    <n v="0"/>
    <n v="0"/>
  </r>
  <r>
    <x v="34"/>
    <s v="Suporte"/>
    <s v="CorporativoCumprimento ao SLA de Incidentes de TI (%): Infraestrutura de TI/Serviços (Estação de Trabalho)"/>
    <x v="34"/>
    <x v="10"/>
    <x v="15"/>
    <x v="0"/>
    <x v="3"/>
    <m/>
    <n v="0"/>
    <n v="0"/>
  </r>
  <r>
    <x v="34"/>
    <s v="Suporte"/>
    <s v="CorporativoCumprimento ao SLA de Incidentes de TI (%): Infraestrutura de TI/Serviços (Estação de Trabalho)"/>
    <x v="34"/>
    <x v="10"/>
    <x v="15"/>
    <x v="0"/>
    <x v="4"/>
    <m/>
    <n v="0"/>
    <n v="0"/>
  </r>
  <r>
    <x v="34"/>
    <s v="Suporte"/>
    <s v="CorporativoCumprimento ao SLA de Incidentes de TI (%): Infraestrutura de TI/Serviços (Estação de Trabalho)"/>
    <x v="34"/>
    <x v="10"/>
    <x v="15"/>
    <x v="0"/>
    <x v="5"/>
    <m/>
    <n v="0"/>
    <n v="0"/>
  </r>
  <r>
    <x v="34"/>
    <s v="Suporte"/>
    <s v="CorporativoCumprimento ao SLA de Incidentes de TI (%): Infraestrutura de TI/Serviços (Estação de Trabalho)"/>
    <x v="34"/>
    <x v="10"/>
    <x v="15"/>
    <x v="0"/>
    <x v="6"/>
    <m/>
    <n v="0"/>
    <n v="0"/>
  </r>
  <r>
    <x v="34"/>
    <s v="Suporte"/>
    <s v="CorporativoCumprimento ao SLA de Incidentes de TI (%): Infraestrutura de TI/Serviços (Estação de Trabalho)"/>
    <x v="34"/>
    <x v="10"/>
    <x v="15"/>
    <x v="0"/>
    <x v="7"/>
    <m/>
    <n v="0"/>
    <n v="0"/>
  </r>
  <r>
    <x v="34"/>
    <s v="Suporte"/>
    <s v="CorporativoCumprimento ao SLA de Incidentes de TI (%): Infraestrutura de TI/Serviços (Estação de Trabalho)"/>
    <x v="34"/>
    <x v="10"/>
    <x v="15"/>
    <x v="0"/>
    <x v="8"/>
    <m/>
    <n v="0"/>
    <n v="0"/>
  </r>
  <r>
    <x v="34"/>
    <s v="Suporte"/>
    <s v="CorporativoCumprimento ao SLA de Incidentes de TI (%): Infraestrutura de TI/Serviços (Estação de Trabalho)"/>
    <x v="34"/>
    <x v="10"/>
    <x v="15"/>
    <x v="0"/>
    <x v="9"/>
    <m/>
    <n v="0"/>
    <n v="0"/>
  </r>
  <r>
    <x v="34"/>
    <s v="Suporte"/>
    <s v="CorporativoCumprimento ao SLA de Incidentes de TI (%): Infraestrutura de TI/Serviços (Estação de Trabalho)"/>
    <x v="34"/>
    <x v="10"/>
    <x v="15"/>
    <x v="0"/>
    <x v="10"/>
    <m/>
    <n v="0"/>
    <n v="0"/>
  </r>
  <r>
    <x v="34"/>
    <s v="Suporte"/>
    <s v="CorporativoCumprimento ao SLA de Incidentes de TI (%): Infraestrutura de TI/Serviços (Estação de Trabalho)"/>
    <x v="34"/>
    <x v="10"/>
    <x v="15"/>
    <x v="0"/>
    <x v="11"/>
    <m/>
    <n v="0"/>
    <n v="0"/>
  </r>
  <r>
    <x v="35"/>
    <s v="Projeto"/>
    <s v="CorporativoIntegração de Dados Integra e DW (MA)"/>
    <x v="35"/>
    <x v="25"/>
    <x v="16"/>
    <x v="0"/>
    <x v="0"/>
    <m/>
    <n v="0"/>
    <n v="0"/>
  </r>
  <r>
    <x v="35"/>
    <s v="Projeto"/>
    <s v="CorporativoIntegração de Dados Integra e DW (MA)"/>
    <x v="35"/>
    <x v="25"/>
    <x v="16"/>
    <x v="0"/>
    <x v="1"/>
    <m/>
    <n v="0"/>
    <n v="0"/>
  </r>
  <r>
    <x v="35"/>
    <s v="Projeto"/>
    <s v="CorporativoIntegração de Dados Integra e DW (MA)"/>
    <x v="35"/>
    <x v="25"/>
    <x v="16"/>
    <x v="0"/>
    <x v="2"/>
    <m/>
    <n v="0"/>
    <n v="0"/>
  </r>
  <r>
    <x v="35"/>
    <s v="Projeto"/>
    <s v="CorporativoIntegração de Dados Integra e DW (MA)"/>
    <x v="35"/>
    <x v="25"/>
    <x v="16"/>
    <x v="0"/>
    <x v="3"/>
    <m/>
    <n v="0"/>
    <n v="0"/>
  </r>
  <r>
    <x v="35"/>
    <s v="Projeto"/>
    <s v="CorporativoIntegração de Dados Integra e DW (MA)"/>
    <x v="35"/>
    <x v="25"/>
    <x v="16"/>
    <x v="0"/>
    <x v="4"/>
    <m/>
    <n v="0"/>
    <n v="0"/>
  </r>
  <r>
    <x v="35"/>
    <s v="Projeto"/>
    <s v="CorporativoIntegração de Dados Integra e DW (MA)"/>
    <x v="35"/>
    <x v="25"/>
    <x v="16"/>
    <x v="0"/>
    <x v="5"/>
    <m/>
    <n v="0"/>
    <n v="0"/>
  </r>
  <r>
    <x v="35"/>
    <s v="Projeto"/>
    <s v="CorporativoIntegração de Dados Integra e DW (MA)"/>
    <x v="35"/>
    <x v="25"/>
    <x v="16"/>
    <x v="0"/>
    <x v="6"/>
    <m/>
    <n v="0"/>
    <n v="0"/>
  </r>
  <r>
    <x v="35"/>
    <s v="Projeto"/>
    <s v="CorporativoIntegração de Dados Integra e DW (MA)"/>
    <x v="35"/>
    <x v="25"/>
    <x v="16"/>
    <x v="0"/>
    <x v="7"/>
    <m/>
    <n v="0"/>
    <n v="0"/>
  </r>
  <r>
    <x v="35"/>
    <s v="Projeto"/>
    <s v="CorporativoIntegração de Dados Integra e DW (MA)"/>
    <x v="35"/>
    <x v="25"/>
    <x v="16"/>
    <x v="0"/>
    <x v="8"/>
    <m/>
    <n v="0"/>
    <n v="0"/>
  </r>
  <r>
    <x v="35"/>
    <s v="Projeto"/>
    <s v="CorporativoIntegração de Dados Integra e DW (MA)"/>
    <x v="35"/>
    <x v="25"/>
    <x v="16"/>
    <x v="0"/>
    <x v="9"/>
    <m/>
    <n v="0"/>
    <n v="0"/>
  </r>
  <r>
    <x v="35"/>
    <s v="Projeto"/>
    <s v="CorporativoIntegração de Dados Integra e DW (MA)"/>
    <x v="35"/>
    <x v="25"/>
    <x v="16"/>
    <x v="0"/>
    <x v="10"/>
    <m/>
    <n v="0"/>
    <n v="0"/>
  </r>
  <r>
    <x v="35"/>
    <s v="Projeto"/>
    <s v="CorporativoIntegração de Dados Integra e DW (MA)"/>
    <x v="35"/>
    <x v="25"/>
    <x v="16"/>
    <x v="0"/>
    <x v="11"/>
    <n v="0.24"/>
    <n v="0"/>
    <n v="0"/>
  </r>
  <r>
    <x v="36"/>
    <s v="Projeto"/>
    <s v="CorporativoCumprimento de Marcos do Projeto de Excelência em Tecnologia (%) - Modelo operacional integrado TI e Negócios"/>
    <x v="36"/>
    <x v="26"/>
    <x v="17"/>
    <x v="0"/>
    <x v="0"/>
    <m/>
    <n v="0"/>
    <n v="0"/>
  </r>
  <r>
    <x v="36"/>
    <s v="Projeto"/>
    <s v="CorporativoCumprimento de Marcos do Projeto de Excelência em Tecnologia (%) - Modelo operacional integrado TI e Negócios"/>
    <x v="36"/>
    <x v="26"/>
    <x v="17"/>
    <x v="0"/>
    <x v="1"/>
    <m/>
    <n v="0"/>
    <n v="0"/>
  </r>
  <r>
    <x v="36"/>
    <s v="Projeto"/>
    <s v="CorporativoCumprimento de Marcos do Projeto de Excelência em Tecnologia (%) - Modelo operacional integrado TI e Negócios"/>
    <x v="36"/>
    <x v="26"/>
    <x v="17"/>
    <x v="0"/>
    <x v="2"/>
    <m/>
    <n v="0"/>
    <n v="0"/>
  </r>
  <r>
    <x v="36"/>
    <s v="Projeto"/>
    <s v="CorporativoCumprimento de Marcos do Projeto de Excelência em Tecnologia (%) - Modelo operacional integrado TI e Negócios"/>
    <x v="36"/>
    <x v="26"/>
    <x v="17"/>
    <x v="0"/>
    <x v="3"/>
    <m/>
    <n v="0"/>
    <n v="0"/>
  </r>
  <r>
    <x v="36"/>
    <s v="Projeto"/>
    <s v="CorporativoCumprimento de Marcos do Projeto de Excelência em Tecnologia (%) - Modelo operacional integrado TI e Negócios"/>
    <x v="36"/>
    <x v="26"/>
    <x v="17"/>
    <x v="0"/>
    <x v="4"/>
    <n v="0.5"/>
    <n v="0"/>
    <n v="0"/>
  </r>
  <r>
    <x v="36"/>
    <s v="Projeto"/>
    <s v="CorporativoCumprimento de Marcos do Projeto de Excelência em Tecnologia (%) - Modelo operacional integrado TI e Negócios"/>
    <x v="36"/>
    <x v="26"/>
    <x v="17"/>
    <x v="0"/>
    <x v="5"/>
    <m/>
    <n v="0"/>
    <n v="0"/>
  </r>
  <r>
    <x v="36"/>
    <s v="Projeto"/>
    <s v="CorporativoCumprimento de Marcos do Projeto de Excelência em Tecnologia (%) - Modelo operacional integrado TI e Negócios"/>
    <x v="36"/>
    <x v="26"/>
    <x v="17"/>
    <x v="0"/>
    <x v="6"/>
    <m/>
    <n v="0"/>
    <n v="0"/>
  </r>
  <r>
    <x v="36"/>
    <s v="Projeto"/>
    <s v="CorporativoCumprimento de Marcos do Projeto de Excelência em Tecnologia (%) - Modelo operacional integrado TI e Negócios"/>
    <x v="36"/>
    <x v="26"/>
    <x v="17"/>
    <x v="0"/>
    <x v="7"/>
    <m/>
    <n v="0"/>
    <n v="0"/>
  </r>
  <r>
    <x v="36"/>
    <s v="Projeto"/>
    <s v="CorporativoCumprimento de Marcos do Projeto de Excelência em Tecnologia (%) - Modelo operacional integrado TI e Negócios"/>
    <x v="36"/>
    <x v="26"/>
    <x v="17"/>
    <x v="0"/>
    <x v="8"/>
    <n v="0.5"/>
    <n v="0"/>
    <n v="0"/>
  </r>
  <r>
    <x v="36"/>
    <s v="Projeto"/>
    <s v="CorporativoCumprimento de Marcos do Projeto de Excelência em Tecnologia (%) - Modelo operacional integrado TI e Negócios"/>
    <x v="36"/>
    <x v="26"/>
    <x v="17"/>
    <x v="0"/>
    <x v="9"/>
    <m/>
    <n v="0"/>
    <n v="0"/>
  </r>
  <r>
    <x v="36"/>
    <s v="Projeto"/>
    <s v="CorporativoCumprimento de Marcos do Projeto de Excelência em Tecnologia (%) - Modelo operacional integrado TI e Negócios"/>
    <x v="36"/>
    <x v="26"/>
    <x v="17"/>
    <x v="0"/>
    <x v="10"/>
    <m/>
    <n v="0"/>
    <n v="0"/>
  </r>
  <r>
    <x v="36"/>
    <s v="Projeto"/>
    <s v="CorporativoCumprimento de Marcos do Projeto de Excelência em Tecnologia (%) - Modelo operacional integrado TI e Negócios"/>
    <x v="36"/>
    <x v="26"/>
    <x v="17"/>
    <x v="0"/>
    <x v="11"/>
    <m/>
    <n v="0"/>
    <n v="0"/>
  </r>
  <r>
    <x v="37"/>
    <s v="Projeto"/>
    <s v="CorporativoProposta de solução de substituição do Inova (CN)"/>
    <x v="37"/>
    <x v="27"/>
    <x v="17"/>
    <x v="0"/>
    <x v="0"/>
    <m/>
    <n v="0"/>
    <n v="0"/>
  </r>
  <r>
    <x v="37"/>
    <s v="Projeto"/>
    <s v="CorporativoProposta de solução de substituição do Inova (CN)"/>
    <x v="37"/>
    <x v="27"/>
    <x v="17"/>
    <x v="0"/>
    <x v="1"/>
    <m/>
    <n v="0"/>
    <n v="0"/>
  </r>
  <r>
    <x v="37"/>
    <s v="Projeto"/>
    <s v="CorporativoProposta de solução de substituição do Inova (CN)"/>
    <x v="37"/>
    <x v="27"/>
    <x v="17"/>
    <x v="0"/>
    <x v="2"/>
    <m/>
    <n v="0"/>
    <n v="0"/>
  </r>
  <r>
    <x v="37"/>
    <s v="Projeto"/>
    <s v="CorporativoProposta de solução de substituição do Inova (CN)"/>
    <x v="37"/>
    <x v="27"/>
    <x v="17"/>
    <x v="0"/>
    <x v="3"/>
    <m/>
    <n v="0"/>
    <n v="0"/>
  </r>
  <r>
    <x v="37"/>
    <s v="Projeto"/>
    <s v="CorporativoProposta de solução de substituição do Inova (CN)"/>
    <x v="37"/>
    <x v="27"/>
    <x v="17"/>
    <x v="0"/>
    <x v="4"/>
    <n v="0.8"/>
    <n v="0"/>
    <n v="0"/>
  </r>
  <r>
    <x v="37"/>
    <s v="Projeto"/>
    <s v="CorporativoProposta de solução de substituição do Inova (CN)"/>
    <x v="37"/>
    <x v="27"/>
    <x v="17"/>
    <x v="0"/>
    <x v="5"/>
    <m/>
    <n v="0"/>
    <n v="0"/>
  </r>
  <r>
    <x v="37"/>
    <s v="Projeto"/>
    <s v="CorporativoProposta de solução de substituição do Inova (CN)"/>
    <x v="37"/>
    <x v="27"/>
    <x v="17"/>
    <x v="0"/>
    <x v="6"/>
    <n v="0.2"/>
    <n v="0"/>
    <n v="0"/>
  </r>
  <r>
    <x v="37"/>
    <s v="Projeto"/>
    <s v="CorporativoProposta de solução de substituição do Inova (CN)"/>
    <x v="37"/>
    <x v="27"/>
    <x v="17"/>
    <x v="0"/>
    <x v="7"/>
    <m/>
    <n v="0"/>
    <n v="0"/>
  </r>
  <r>
    <x v="37"/>
    <s v="Projeto"/>
    <s v="CorporativoProposta de solução de substituição do Inova (CN)"/>
    <x v="37"/>
    <x v="27"/>
    <x v="17"/>
    <x v="0"/>
    <x v="8"/>
    <m/>
    <n v="0"/>
    <n v="0"/>
  </r>
  <r>
    <x v="37"/>
    <s v="Projeto"/>
    <s v="CorporativoProposta de solução de substituição do Inova (CN)"/>
    <x v="37"/>
    <x v="27"/>
    <x v="17"/>
    <x v="0"/>
    <x v="9"/>
    <m/>
    <n v="0"/>
    <n v="0"/>
  </r>
  <r>
    <x v="37"/>
    <s v="Projeto"/>
    <s v="CorporativoProposta de solução de substituição do Inova (CN)"/>
    <x v="37"/>
    <x v="27"/>
    <x v="17"/>
    <x v="0"/>
    <x v="10"/>
    <m/>
    <n v="0"/>
    <n v="0"/>
  </r>
  <r>
    <x v="37"/>
    <s v="Projeto"/>
    <s v="CorporativoProposta de solução de substituição do Inova (CN)"/>
    <x v="37"/>
    <x v="27"/>
    <x v="17"/>
    <x v="0"/>
    <x v="11"/>
    <m/>
    <n v="0"/>
    <n v="0"/>
  </r>
  <r>
    <x v="38"/>
    <s v="Suporte"/>
    <s v="CorporativoCumprimento ao SLA de Incidentes de TI (%): BI"/>
    <x v="38"/>
    <x v="10"/>
    <x v="18"/>
    <x v="0"/>
    <x v="0"/>
    <m/>
    <n v="0"/>
    <n v="0"/>
  </r>
  <r>
    <x v="38"/>
    <s v="Suporte"/>
    <s v="CorporativoCumprimento ao SLA de Incidentes de TI (%): BI"/>
    <x v="38"/>
    <x v="10"/>
    <x v="18"/>
    <x v="0"/>
    <x v="1"/>
    <m/>
    <n v="0"/>
    <n v="0"/>
  </r>
  <r>
    <x v="38"/>
    <s v="Suporte"/>
    <s v="CorporativoCumprimento ao SLA de Incidentes de TI (%): BI"/>
    <x v="38"/>
    <x v="10"/>
    <x v="18"/>
    <x v="0"/>
    <x v="2"/>
    <m/>
    <n v="0"/>
    <n v="0"/>
  </r>
  <r>
    <x v="38"/>
    <s v="Suporte"/>
    <s v="CorporativoCumprimento ao SLA de Incidentes de TI (%): BI"/>
    <x v="38"/>
    <x v="10"/>
    <x v="18"/>
    <x v="0"/>
    <x v="3"/>
    <m/>
    <n v="0"/>
    <n v="0"/>
  </r>
  <r>
    <x v="38"/>
    <s v="Suporte"/>
    <s v="CorporativoCumprimento ao SLA de Incidentes de TI (%): BI"/>
    <x v="38"/>
    <x v="10"/>
    <x v="18"/>
    <x v="0"/>
    <x v="4"/>
    <m/>
    <n v="0"/>
    <n v="0"/>
  </r>
  <r>
    <x v="38"/>
    <s v="Suporte"/>
    <s v="CorporativoCumprimento ao SLA de Incidentes de TI (%): BI"/>
    <x v="38"/>
    <x v="10"/>
    <x v="18"/>
    <x v="0"/>
    <x v="5"/>
    <m/>
    <n v="0"/>
    <n v="0"/>
  </r>
  <r>
    <x v="38"/>
    <s v="Suporte"/>
    <s v="CorporativoCumprimento ao SLA de Incidentes de TI (%): BI"/>
    <x v="38"/>
    <x v="10"/>
    <x v="18"/>
    <x v="0"/>
    <x v="6"/>
    <m/>
    <n v="0"/>
    <n v="0"/>
  </r>
  <r>
    <x v="38"/>
    <s v="Suporte"/>
    <s v="CorporativoCumprimento ao SLA de Incidentes de TI (%): BI"/>
    <x v="38"/>
    <x v="10"/>
    <x v="18"/>
    <x v="0"/>
    <x v="7"/>
    <m/>
    <n v="0"/>
    <n v="0"/>
  </r>
  <r>
    <x v="38"/>
    <s v="Suporte"/>
    <s v="CorporativoCumprimento ao SLA de Incidentes de TI (%): BI"/>
    <x v="38"/>
    <x v="10"/>
    <x v="18"/>
    <x v="0"/>
    <x v="8"/>
    <m/>
    <n v="0"/>
    <n v="0"/>
  </r>
  <r>
    <x v="38"/>
    <s v="Suporte"/>
    <s v="CorporativoCumprimento ao SLA de Incidentes de TI (%): BI"/>
    <x v="38"/>
    <x v="10"/>
    <x v="18"/>
    <x v="0"/>
    <x v="9"/>
    <m/>
    <n v="0"/>
    <n v="0"/>
  </r>
  <r>
    <x v="38"/>
    <s v="Suporte"/>
    <s v="CorporativoCumprimento ao SLA de Incidentes de TI (%): BI"/>
    <x v="38"/>
    <x v="10"/>
    <x v="18"/>
    <x v="0"/>
    <x v="10"/>
    <m/>
    <n v="0"/>
    <n v="0"/>
  </r>
  <r>
    <x v="38"/>
    <s v="Suporte"/>
    <s v="CorporativoCumprimento ao SLA de Incidentes de TI (%): BI"/>
    <x v="38"/>
    <x v="10"/>
    <x v="18"/>
    <x v="0"/>
    <x v="11"/>
    <m/>
    <n v="0"/>
    <n v="0"/>
  </r>
  <r>
    <x v="39"/>
    <s v="Projeto"/>
    <s v="CorporativoPortfolio de dados - Integração do DW ao corporativo do GAB"/>
    <x v="39"/>
    <x v="28"/>
    <x v="18"/>
    <x v="0"/>
    <x v="0"/>
    <m/>
    <n v="0"/>
    <n v="0"/>
  </r>
  <r>
    <x v="39"/>
    <s v="Projeto"/>
    <s v="CorporativoPortfolio de dados - Integração do DW ao corporativo do GAB"/>
    <x v="39"/>
    <x v="28"/>
    <x v="18"/>
    <x v="0"/>
    <x v="1"/>
    <m/>
    <n v="0"/>
    <n v="0"/>
  </r>
  <r>
    <x v="39"/>
    <s v="Projeto"/>
    <s v="CorporativoPortfolio de dados - Integração do DW ao corporativo do GAB"/>
    <x v="39"/>
    <x v="28"/>
    <x v="18"/>
    <x v="0"/>
    <x v="2"/>
    <m/>
    <n v="0"/>
    <n v="0"/>
  </r>
  <r>
    <x v="39"/>
    <s v="Projeto"/>
    <s v="CorporativoPortfolio de dados - Integração do DW ao corporativo do GAB"/>
    <x v="39"/>
    <x v="28"/>
    <x v="18"/>
    <x v="0"/>
    <x v="3"/>
    <m/>
    <n v="0"/>
    <n v="0"/>
  </r>
  <r>
    <x v="39"/>
    <s v="Projeto"/>
    <s v="CorporativoPortfolio de dados - Integração do DW ao corporativo do GAB"/>
    <x v="39"/>
    <x v="28"/>
    <x v="18"/>
    <x v="0"/>
    <x v="4"/>
    <m/>
    <n v="0"/>
    <n v="0"/>
  </r>
  <r>
    <x v="39"/>
    <s v="Projeto"/>
    <s v="CorporativoPortfolio de dados - Integração do DW ao corporativo do GAB"/>
    <x v="39"/>
    <x v="28"/>
    <x v="18"/>
    <x v="0"/>
    <x v="5"/>
    <m/>
    <n v="0"/>
    <n v="0"/>
  </r>
  <r>
    <x v="39"/>
    <s v="Projeto"/>
    <s v="CorporativoPortfolio de dados - Integração do DW ao corporativo do GAB"/>
    <x v="39"/>
    <x v="28"/>
    <x v="18"/>
    <x v="0"/>
    <x v="6"/>
    <m/>
    <n v="0"/>
    <n v="0"/>
  </r>
  <r>
    <x v="39"/>
    <s v="Projeto"/>
    <s v="CorporativoPortfolio de dados - Integração do DW ao corporativo do GAB"/>
    <x v="39"/>
    <x v="28"/>
    <x v="18"/>
    <x v="0"/>
    <x v="7"/>
    <m/>
    <n v="0"/>
    <n v="0"/>
  </r>
  <r>
    <x v="39"/>
    <s v="Projeto"/>
    <s v="CorporativoPortfolio de dados - Integração do DW ao corporativo do GAB"/>
    <x v="39"/>
    <x v="28"/>
    <x v="18"/>
    <x v="0"/>
    <x v="8"/>
    <m/>
    <n v="0"/>
    <n v="0"/>
  </r>
  <r>
    <x v="39"/>
    <s v="Projeto"/>
    <s v="CorporativoPortfolio de dados - Integração do DW ao corporativo do GAB"/>
    <x v="39"/>
    <x v="28"/>
    <x v="18"/>
    <x v="0"/>
    <x v="9"/>
    <m/>
    <n v="0"/>
    <n v="0"/>
  </r>
  <r>
    <x v="39"/>
    <s v="Projeto"/>
    <s v="CorporativoPortfolio de dados - Integração do DW ao corporativo do GAB"/>
    <x v="39"/>
    <x v="28"/>
    <x v="18"/>
    <x v="0"/>
    <x v="10"/>
    <m/>
    <n v="0"/>
    <n v="0"/>
  </r>
  <r>
    <x v="39"/>
    <s v="Projeto"/>
    <s v="CorporativoPortfolio de dados - Integração do DW ao corporativo do GAB"/>
    <x v="39"/>
    <x v="28"/>
    <x v="18"/>
    <x v="0"/>
    <x v="11"/>
    <n v="1"/>
    <n v="0"/>
    <n v="0"/>
  </r>
  <r>
    <x v="40"/>
    <s v="Projeto"/>
    <s v="CorporativoAtualização tecnológica do Office 2016 do GAB e Rio+ de acordo com o orçamento (TF)"/>
    <x v="40"/>
    <x v="29"/>
    <x v="19"/>
    <x v="0"/>
    <x v="0"/>
    <m/>
    <n v="0"/>
    <n v="0"/>
  </r>
  <r>
    <x v="40"/>
    <s v="Projeto"/>
    <s v="CorporativoAtualização tecnológica do Office 2016 do GAB e Rio+ de acordo com o orçamento (TF)"/>
    <x v="40"/>
    <x v="29"/>
    <x v="19"/>
    <x v="0"/>
    <x v="1"/>
    <m/>
    <n v="0"/>
    <n v="0"/>
  </r>
  <r>
    <x v="40"/>
    <s v="Projeto"/>
    <s v="CorporativoAtualização tecnológica do Office 2016 do GAB e Rio+ de acordo com o orçamento (TF)"/>
    <x v="40"/>
    <x v="29"/>
    <x v="19"/>
    <x v="0"/>
    <x v="2"/>
    <m/>
    <n v="0"/>
    <n v="0"/>
  </r>
  <r>
    <x v="40"/>
    <s v="Projeto"/>
    <s v="CorporativoAtualização tecnológica do Office 2016 do GAB e Rio+ de acordo com o orçamento (TF)"/>
    <x v="40"/>
    <x v="29"/>
    <x v="19"/>
    <x v="0"/>
    <x v="3"/>
    <m/>
    <n v="0"/>
    <n v="0"/>
  </r>
  <r>
    <x v="40"/>
    <s v="Projeto"/>
    <s v="CorporativoAtualização tecnológica do Office 2016 do GAB e Rio+ de acordo com o orçamento (TF)"/>
    <x v="40"/>
    <x v="29"/>
    <x v="19"/>
    <x v="0"/>
    <x v="4"/>
    <m/>
    <n v="0"/>
    <n v="0"/>
  </r>
  <r>
    <x v="40"/>
    <s v="Projeto"/>
    <s v="CorporativoAtualização tecnológica do Office 2016 do GAB e Rio+ de acordo com o orçamento (TF)"/>
    <x v="40"/>
    <x v="29"/>
    <x v="19"/>
    <x v="0"/>
    <x v="5"/>
    <m/>
    <n v="0"/>
    <n v="0"/>
  </r>
  <r>
    <x v="40"/>
    <s v="Projeto"/>
    <s v="CorporativoAtualização tecnológica do Office 2016 do GAB e Rio+ de acordo com o orçamento (TF)"/>
    <x v="40"/>
    <x v="29"/>
    <x v="19"/>
    <x v="0"/>
    <x v="6"/>
    <m/>
    <n v="0"/>
    <n v="0"/>
  </r>
  <r>
    <x v="40"/>
    <s v="Projeto"/>
    <s v="CorporativoAtualização tecnológica do Office 2016 do GAB e Rio+ de acordo com o orçamento (TF)"/>
    <x v="40"/>
    <x v="29"/>
    <x v="19"/>
    <x v="0"/>
    <x v="7"/>
    <m/>
    <n v="0"/>
    <n v="0"/>
  </r>
  <r>
    <x v="40"/>
    <s v="Projeto"/>
    <s v="CorporativoAtualização tecnológica do Office 2016 do GAB e Rio+ de acordo com o orçamento (TF)"/>
    <x v="40"/>
    <x v="29"/>
    <x v="19"/>
    <x v="0"/>
    <x v="8"/>
    <m/>
    <n v="0"/>
    <n v="0"/>
  </r>
  <r>
    <x v="40"/>
    <s v="Projeto"/>
    <s v="CorporativoAtualização tecnológica do Office 2016 do GAB e Rio+ de acordo com o orçamento (TF)"/>
    <x v="40"/>
    <x v="29"/>
    <x v="19"/>
    <x v="0"/>
    <x v="9"/>
    <m/>
    <n v="0"/>
    <n v="0"/>
  </r>
  <r>
    <x v="40"/>
    <s v="Projeto"/>
    <s v="CorporativoAtualização tecnológica do Office 2016 do GAB e Rio+ de acordo com o orçamento (TF)"/>
    <x v="40"/>
    <x v="29"/>
    <x v="19"/>
    <x v="0"/>
    <x v="10"/>
    <m/>
    <n v="0"/>
    <n v="0"/>
  </r>
  <r>
    <x v="40"/>
    <s v="Projeto"/>
    <s v="CorporativoAtualização tecnológica do Office 2016 do GAB e Rio+ de acordo com o orçamento (TF)"/>
    <x v="40"/>
    <x v="29"/>
    <x v="19"/>
    <x v="0"/>
    <x v="11"/>
    <n v="1"/>
    <n v="0"/>
    <n v="0"/>
  </r>
  <r>
    <x v="41"/>
    <s v="Satisfação"/>
    <s v="CorporativoCumprimento ao SLA de Satisfação TI (%): Infraestrutura de TI/Datacenter"/>
    <x v="41"/>
    <x v="10"/>
    <x v="19"/>
    <x v="0"/>
    <x v="0"/>
    <m/>
    <n v="0"/>
    <n v="0"/>
  </r>
  <r>
    <x v="41"/>
    <s v="Satisfação"/>
    <s v="CorporativoCumprimento ao SLA de Satisfação TI (%): Infraestrutura de TI/Datacenter"/>
    <x v="41"/>
    <x v="10"/>
    <x v="19"/>
    <x v="0"/>
    <x v="1"/>
    <m/>
    <n v="0"/>
    <n v="0"/>
  </r>
  <r>
    <x v="41"/>
    <s v="Satisfação"/>
    <s v="CorporativoCumprimento ao SLA de Satisfação TI (%): Infraestrutura de TI/Datacenter"/>
    <x v="41"/>
    <x v="10"/>
    <x v="19"/>
    <x v="0"/>
    <x v="2"/>
    <m/>
    <n v="0"/>
    <n v="0"/>
  </r>
  <r>
    <x v="41"/>
    <s v="Satisfação"/>
    <s v="CorporativoCumprimento ao SLA de Satisfação TI (%): Infraestrutura de TI/Datacenter"/>
    <x v="41"/>
    <x v="10"/>
    <x v="19"/>
    <x v="0"/>
    <x v="3"/>
    <m/>
    <n v="0"/>
    <n v="0"/>
  </r>
  <r>
    <x v="41"/>
    <s v="Satisfação"/>
    <s v="CorporativoCumprimento ao SLA de Satisfação TI (%): Infraestrutura de TI/Datacenter"/>
    <x v="41"/>
    <x v="10"/>
    <x v="19"/>
    <x v="0"/>
    <x v="4"/>
    <m/>
    <n v="0"/>
    <n v="0"/>
  </r>
  <r>
    <x v="41"/>
    <s v="Satisfação"/>
    <s v="CorporativoCumprimento ao SLA de Satisfação TI (%): Infraestrutura de TI/Datacenter"/>
    <x v="41"/>
    <x v="10"/>
    <x v="19"/>
    <x v="0"/>
    <x v="5"/>
    <m/>
    <n v="0"/>
    <n v="0"/>
  </r>
  <r>
    <x v="41"/>
    <s v="Satisfação"/>
    <s v="CorporativoCumprimento ao SLA de Satisfação TI (%): Infraestrutura de TI/Datacenter"/>
    <x v="41"/>
    <x v="10"/>
    <x v="19"/>
    <x v="0"/>
    <x v="6"/>
    <m/>
    <n v="0"/>
    <n v="0"/>
  </r>
  <r>
    <x v="41"/>
    <s v="Satisfação"/>
    <s v="CorporativoCumprimento ao SLA de Satisfação TI (%): Infraestrutura de TI/Datacenter"/>
    <x v="41"/>
    <x v="10"/>
    <x v="19"/>
    <x v="0"/>
    <x v="7"/>
    <m/>
    <n v="0"/>
    <n v="0"/>
  </r>
  <r>
    <x v="41"/>
    <s v="Satisfação"/>
    <s v="CorporativoCumprimento ao SLA de Satisfação TI (%): Infraestrutura de TI/Datacenter"/>
    <x v="41"/>
    <x v="10"/>
    <x v="19"/>
    <x v="0"/>
    <x v="8"/>
    <m/>
    <n v="0"/>
    <n v="0"/>
  </r>
  <r>
    <x v="41"/>
    <s v="Satisfação"/>
    <s v="CorporativoCumprimento ao SLA de Satisfação TI (%): Infraestrutura de TI/Datacenter"/>
    <x v="41"/>
    <x v="10"/>
    <x v="19"/>
    <x v="0"/>
    <x v="9"/>
    <m/>
    <n v="0"/>
    <n v="0"/>
  </r>
  <r>
    <x v="41"/>
    <s v="Satisfação"/>
    <s v="CorporativoCumprimento ao SLA de Satisfação TI (%): Infraestrutura de TI/Datacenter"/>
    <x v="41"/>
    <x v="10"/>
    <x v="19"/>
    <x v="0"/>
    <x v="10"/>
    <m/>
    <n v="0"/>
    <n v="0"/>
  </r>
  <r>
    <x v="41"/>
    <s v="Satisfação"/>
    <s v="CorporativoCumprimento ao SLA de Satisfação TI (%): Infraestrutura de TI/Datacenter"/>
    <x v="41"/>
    <x v="10"/>
    <x v="19"/>
    <x v="0"/>
    <x v="11"/>
    <m/>
    <n v="0"/>
    <n v="0"/>
  </r>
  <r>
    <x v="42"/>
    <s v="Suporte"/>
    <s v="CorporativoCumprimento ao SLA de Incidentes de TI (%): Infraestrutura de TI/Datacenter"/>
    <x v="42"/>
    <x v="10"/>
    <x v="19"/>
    <x v="0"/>
    <x v="0"/>
    <m/>
    <n v="0"/>
    <n v="0"/>
  </r>
  <r>
    <x v="42"/>
    <s v="Suporte"/>
    <s v="CorporativoCumprimento ao SLA de Incidentes de TI (%): Infraestrutura de TI/Datacenter"/>
    <x v="42"/>
    <x v="10"/>
    <x v="19"/>
    <x v="0"/>
    <x v="1"/>
    <m/>
    <n v="0"/>
    <n v="0"/>
  </r>
  <r>
    <x v="42"/>
    <s v="Suporte"/>
    <s v="CorporativoCumprimento ao SLA de Incidentes de TI (%): Infraestrutura de TI/Datacenter"/>
    <x v="42"/>
    <x v="10"/>
    <x v="19"/>
    <x v="0"/>
    <x v="2"/>
    <m/>
    <n v="0"/>
    <n v="0"/>
  </r>
  <r>
    <x v="42"/>
    <s v="Suporte"/>
    <s v="CorporativoCumprimento ao SLA de Incidentes de TI (%): Infraestrutura de TI/Datacenter"/>
    <x v="42"/>
    <x v="10"/>
    <x v="19"/>
    <x v="0"/>
    <x v="3"/>
    <m/>
    <n v="0"/>
    <n v="0"/>
  </r>
  <r>
    <x v="42"/>
    <s v="Suporte"/>
    <s v="CorporativoCumprimento ao SLA de Incidentes de TI (%): Infraestrutura de TI/Datacenter"/>
    <x v="42"/>
    <x v="10"/>
    <x v="19"/>
    <x v="0"/>
    <x v="4"/>
    <m/>
    <n v="0"/>
    <n v="0"/>
  </r>
  <r>
    <x v="42"/>
    <s v="Suporte"/>
    <s v="CorporativoCumprimento ao SLA de Incidentes de TI (%): Infraestrutura de TI/Datacenter"/>
    <x v="42"/>
    <x v="10"/>
    <x v="19"/>
    <x v="0"/>
    <x v="5"/>
    <m/>
    <n v="0"/>
    <n v="0"/>
  </r>
  <r>
    <x v="42"/>
    <s v="Suporte"/>
    <s v="CorporativoCumprimento ao SLA de Incidentes de TI (%): Infraestrutura de TI/Datacenter"/>
    <x v="42"/>
    <x v="10"/>
    <x v="19"/>
    <x v="0"/>
    <x v="6"/>
    <m/>
    <n v="0"/>
    <n v="0"/>
  </r>
  <r>
    <x v="42"/>
    <s v="Suporte"/>
    <s v="CorporativoCumprimento ao SLA de Incidentes de TI (%): Infraestrutura de TI/Datacenter"/>
    <x v="42"/>
    <x v="10"/>
    <x v="19"/>
    <x v="0"/>
    <x v="7"/>
    <m/>
    <n v="0"/>
    <n v="0"/>
  </r>
  <r>
    <x v="42"/>
    <s v="Suporte"/>
    <s v="CorporativoCumprimento ao SLA de Incidentes de TI (%): Infraestrutura de TI/Datacenter"/>
    <x v="42"/>
    <x v="10"/>
    <x v="19"/>
    <x v="0"/>
    <x v="8"/>
    <m/>
    <n v="0"/>
    <n v="0"/>
  </r>
  <r>
    <x v="42"/>
    <s v="Suporte"/>
    <s v="CorporativoCumprimento ao SLA de Incidentes de TI (%): Infraestrutura de TI/Datacenter"/>
    <x v="42"/>
    <x v="10"/>
    <x v="19"/>
    <x v="0"/>
    <x v="9"/>
    <m/>
    <n v="0"/>
    <n v="0"/>
  </r>
  <r>
    <x v="42"/>
    <s v="Suporte"/>
    <s v="CorporativoCumprimento ao SLA de Incidentes de TI (%): Infraestrutura de TI/Datacenter"/>
    <x v="42"/>
    <x v="10"/>
    <x v="19"/>
    <x v="0"/>
    <x v="10"/>
    <m/>
    <n v="0"/>
    <n v="0"/>
  </r>
  <r>
    <x v="42"/>
    <s v="Suporte"/>
    <s v="CorporativoCumprimento ao SLA de Incidentes de TI (%): Infraestrutura de TI/Datacenter"/>
    <x v="42"/>
    <x v="10"/>
    <x v="19"/>
    <x v="0"/>
    <x v="11"/>
    <m/>
    <n v="0"/>
    <n v="0"/>
  </r>
  <r>
    <x v="43"/>
    <s v="Satisfação"/>
    <s v="CorporativoCumprimento ao SLA de Satisfação TI (%): Cybersegurança"/>
    <x v="43"/>
    <x v="10"/>
    <x v="20"/>
    <x v="0"/>
    <x v="0"/>
    <m/>
    <n v="0"/>
    <n v="0"/>
  </r>
  <r>
    <x v="43"/>
    <s v="Satisfação"/>
    <s v="CorporativoCumprimento ao SLA de Satisfação TI (%): Cybersegurança"/>
    <x v="43"/>
    <x v="10"/>
    <x v="20"/>
    <x v="0"/>
    <x v="1"/>
    <m/>
    <n v="0"/>
    <n v="0"/>
  </r>
  <r>
    <x v="43"/>
    <s v="Satisfação"/>
    <s v="CorporativoCumprimento ao SLA de Satisfação TI (%): Cybersegurança"/>
    <x v="43"/>
    <x v="10"/>
    <x v="20"/>
    <x v="0"/>
    <x v="2"/>
    <m/>
    <n v="0"/>
    <n v="0"/>
  </r>
  <r>
    <x v="43"/>
    <s v="Satisfação"/>
    <s v="CorporativoCumprimento ao SLA de Satisfação TI (%): Cybersegurança"/>
    <x v="43"/>
    <x v="10"/>
    <x v="20"/>
    <x v="0"/>
    <x v="3"/>
    <m/>
    <n v="0"/>
    <n v="0"/>
  </r>
  <r>
    <x v="43"/>
    <s v="Satisfação"/>
    <s v="CorporativoCumprimento ao SLA de Satisfação TI (%): Cybersegurança"/>
    <x v="43"/>
    <x v="10"/>
    <x v="20"/>
    <x v="0"/>
    <x v="4"/>
    <m/>
    <n v="0"/>
    <n v="0"/>
  </r>
  <r>
    <x v="43"/>
    <s v="Satisfação"/>
    <s v="CorporativoCumprimento ao SLA de Satisfação TI (%): Cybersegurança"/>
    <x v="43"/>
    <x v="10"/>
    <x v="20"/>
    <x v="0"/>
    <x v="5"/>
    <m/>
    <n v="0"/>
    <n v="0"/>
  </r>
  <r>
    <x v="43"/>
    <s v="Satisfação"/>
    <s v="CorporativoCumprimento ao SLA de Satisfação TI (%): Cybersegurança"/>
    <x v="43"/>
    <x v="10"/>
    <x v="20"/>
    <x v="0"/>
    <x v="6"/>
    <m/>
    <n v="0"/>
    <n v="0"/>
  </r>
  <r>
    <x v="43"/>
    <s v="Satisfação"/>
    <s v="CorporativoCumprimento ao SLA de Satisfação TI (%): Cybersegurança"/>
    <x v="43"/>
    <x v="10"/>
    <x v="20"/>
    <x v="0"/>
    <x v="7"/>
    <m/>
    <n v="0"/>
    <n v="0"/>
  </r>
  <r>
    <x v="43"/>
    <s v="Satisfação"/>
    <s v="CorporativoCumprimento ao SLA de Satisfação TI (%): Cybersegurança"/>
    <x v="43"/>
    <x v="10"/>
    <x v="20"/>
    <x v="0"/>
    <x v="8"/>
    <m/>
    <n v="0"/>
    <n v="0"/>
  </r>
  <r>
    <x v="43"/>
    <s v="Satisfação"/>
    <s v="CorporativoCumprimento ao SLA de Satisfação TI (%): Cybersegurança"/>
    <x v="43"/>
    <x v="10"/>
    <x v="20"/>
    <x v="0"/>
    <x v="9"/>
    <m/>
    <n v="0"/>
    <n v="0"/>
  </r>
  <r>
    <x v="43"/>
    <s v="Satisfação"/>
    <s v="CorporativoCumprimento ao SLA de Satisfação TI (%): Cybersegurança"/>
    <x v="43"/>
    <x v="10"/>
    <x v="20"/>
    <x v="0"/>
    <x v="10"/>
    <m/>
    <n v="0"/>
    <n v="0"/>
  </r>
  <r>
    <x v="43"/>
    <s v="Satisfação"/>
    <s v="CorporativoCumprimento ao SLA de Satisfação TI (%): Cybersegurança"/>
    <x v="43"/>
    <x v="10"/>
    <x v="20"/>
    <x v="0"/>
    <x v="11"/>
    <m/>
    <n v="0"/>
    <n v="0"/>
  </r>
  <r>
    <x v="44"/>
    <s v="Projeto"/>
    <s v="CorporativoAtualização tecnológica do sistema de atualização de patches de segurança (Segurança)"/>
    <x v="44"/>
    <x v="24"/>
    <x v="20"/>
    <x v="0"/>
    <x v="0"/>
    <m/>
    <n v="0"/>
    <n v="0"/>
  </r>
  <r>
    <x v="44"/>
    <s v="Projeto"/>
    <s v="CorporativoAtualização tecnológica do sistema de atualização de patches de segurança (Segurança)"/>
    <x v="44"/>
    <x v="24"/>
    <x v="20"/>
    <x v="0"/>
    <x v="1"/>
    <m/>
    <n v="0"/>
    <n v="0"/>
  </r>
  <r>
    <x v="44"/>
    <s v="Projeto"/>
    <s v="CorporativoAtualização tecnológica do sistema de atualização de patches de segurança (Segurança)"/>
    <x v="44"/>
    <x v="24"/>
    <x v="20"/>
    <x v="0"/>
    <x v="2"/>
    <m/>
    <n v="0"/>
    <n v="0"/>
  </r>
  <r>
    <x v="44"/>
    <s v="Projeto"/>
    <s v="CorporativoAtualização tecnológica do sistema de atualização de patches de segurança (Segurança)"/>
    <x v="44"/>
    <x v="24"/>
    <x v="20"/>
    <x v="0"/>
    <x v="3"/>
    <m/>
    <n v="0"/>
    <n v="0"/>
  </r>
  <r>
    <x v="44"/>
    <s v="Projeto"/>
    <s v="CorporativoAtualização tecnológica do sistema de atualização de patches de segurança (Segurança)"/>
    <x v="44"/>
    <x v="24"/>
    <x v="20"/>
    <x v="0"/>
    <x v="4"/>
    <m/>
    <n v="0"/>
    <n v="0"/>
  </r>
  <r>
    <x v="44"/>
    <s v="Projeto"/>
    <s v="CorporativoAtualização tecnológica do sistema de atualização de patches de segurança (Segurança)"/>
    <x v="44"/>
    <x v="24"/>
    <x v="20"/>
    <x v="0"/>
    <x v="5"/>
    <m/>
    <n v="0"/>
    <n v="0"/>
  </r>
  <r>
    <x v="44"/>
    <s v="Projeto"/>
    <s v="CorporativoAtualização tecnológica do sistema de atualização de patches de segurança (Segurança)"/>
    <x v="44"/>
    <x v="24"/>
    <x v="20"/>
    <x v="0"/>
    <x v="6"/>
    <m/>
    <n v="0"/>
    <n v="0"/>
  </r>
  <r>
    <x v="44"/>
    <s v="Projeto"/>
    <s v="CorporativoAtualização tecnológica do sistema de atualização de patches de segurança (Segurança)"/>
    <x v="44"/>
    <x v="24"/>
    <x v="20"/>
    <x v="0"/>
    <x v="7"/>
    <m/>
    <n v="0"/>
    <n v="0"/>
  </r>
  <r>
    <x v="44"/>
    <s v="Projeto"/>
    <s v="CorporativoAtualização tecnológica do sistema de atualização de patches de segurança (Segurança)"/>
    <x v="44"/>
    <x v="24"/>
    <x v="20"/>
    <x v="0"/>
    <x v="8"/>
    <m/>
    <n v="0"/>
    <n v="0"/>
  </r>
  <r>
    <x v="44"/>
    <s v="Projeto"/>
    <s v="CorporativoAtualização tecnológica do sistema de atualização de patches de segurança (Segurança)"/>
    <x v="44"/>
    <x v="24"/>
    <x v="20"/>
    <x v="0"/>
    <x v="9"/>
    <m/>
    <n v="0"/>
    <n v="0"/>
  </r>
  <r>
    <x v="44"/>
    <s v="Projeto"/>
    <s v="CorporativoAtualização tecnológica do sistema de atualização de patches de segurança (Segurança)"/>
    <x v="44"/>
    <x v="24"/>
    <x v="20"/>
    <x v="0"/>
    <x v="10"/>
    <m/>
    <n v="0"/>
    <n v="0"/>
  </r>
  <r>
    <x v="44"/>
    <s v="Projeto"/>
    <s v="CorporativoAtualização tecnológica do sistema de atualização de patches de segurança (Segurança)"/>
    <x v="44"/>
    <x v="24"/>
    <x v="20"/>
    <x v="0"/>
    <x v="11"/>
    <n v="1"/>
    <n v="0"/>
    <n v="0"/>
  </r>
  <r>
    <x v="45"/>
    <s v="Projeto"/>
    <s v="CorporativoSubstituição do iNOVA - TI (DT)"/>
    <x v="45"/>
    <x v="30"/>
    <x v="21"/>
    <x v="0"/>
    <x v="0"/>
    <m/>
    <n v="0"/>
    <n v="0"/>
  </r>
  <r>
    <x v="45"/>
    <s v="Projeto"/>
    <s v="CorporativoSubstituição do iNOVA - TI (DT)"/>
    <x v="45"/>
    <x v="30"/>
    <x v="21"/>
    <x v="0"/>
    <x v="1"/>
    <m/>
    <n v="0"/>
    <n v="0"/>
  </r>
  <r>
    <x v="45"/>
    <s v="Projeto"/>
    <s v="CorporativoSubstituição do iNOVA - TI (DT)"/>
    <x v="45"/>
    <x v="30"/>
    <x v="21"/>
    <x v="0"/>
    <x v="2"/>
    <m/>
    <n v="0"/>
    <n v="0"/>
  </r>
  <r>
    <x v="45"/>
    <s v="Projeto"/>
    <s v="CorporativoSubstituição do iNOVA - TI (DT)"/>
    <x v="45"/>
    <x v="30"/>
    <x v="21"/>
    <x v="0"/>
    <x v="3"/>
    <m/>
    <n v="0"/>
    <n v="0"/>
  </r>
  <r>
    <x v="45"/>
    <s v="Projeto"/>
    <s v="CorporativoSubstituição do iNOVA - TI (DT)"/>
    <x v="45"/>
    <x v="30"/>
    <x v="21"/>
    <x v="0"/>
    <x v="4"/>
    <n v="0.8"/>
    <n v="0"/>
    <n v="0"/>
  </r>
  <r>
    <x v="45"/>
    <s v="Projeto"/>
    <s v="CorporativoSubstituição do iNOVA - TI (DT)"/>
    <x v="45"/>
    <x v="30"/>
    <x v="21"/>
    <x v="0"/>
    <x v="5"/>
    <m/>
    <n v="0"/>
    <n v="0"/>
  </r>
  <r>
    <x v="45"/>
    <s v="Projeto"/>
    <s v="CorporativoSubstituição do iNOVA - TI (DT)"/>
    <x v="45"/>
    <x v="30"/>
    <x v="21"/>
    <x v="0"/>
    <x v="6"/>
    <n v="0.2"/>
    <n v="0"/>
    <n v="0"/>
  </r>
  <r>
    <x v="45"/>
    <s v="Projeto"/>
    <s v="CorporativoSubstituição do iNOVA - TI (DT)"/>
    <x v="45"/>
    <x v="30"/>
    <x v="21"/>
    <x v="0"/>
    <x v="7"/>
    <m/>
    <n v="0"/>
    <n v="0"/>
  </r>
  <r>
    <x v="45"/>
    <s v="Projeto"/>
    <s v="CorporativoSubstituição do iNOVA - TI (DT)"/>
    <x v="45"/>
    <x v="30"/>
    <x v="21"/>
    <x v="0"/>
    <x v="8"/>
    <m/>
    <n v="0"/>
    <n v="0"/>
  </r>
  <r>
    <x v="45"/>
    <s v="Projeto"/>
    <s v="CorporativoSubstituição do iNOVA - TI (DT)"/>
    <x v="45"/>
    <x v="30"/>
    <x v="21"/>
    <x v="0"/>
    <x v="9"/>
    <m/>
    <n v="0"/>
    <n v="0"/>
  </r>
  <r>
    <x v="45"/>
    <s v="Projeto"/>
    <s v="CorporativoSubstituição do iNOVA - TI (DT)"/>
    <x v="45"/>
    <x v="30"/>
    <x v="21"/>
    <x v="0"/>
    <x v="10"/>
    <m/>
    <n v="0"/>
    <n v="0"/>
  </r>
  <r>
    <x v="45"/>
    <s v="Projeto"/>
    <s v="CorporativoSubstituição do iNOVA - TI (DT)"/>
    <x v="45"/>
    <x v="30"/>
    <x v="21"/>
    <x v="0"/>
    <x v="11"/>
    <m/>
    <n v="0"/>
    <n v="0"/>
  </r>
  <r>
    <x v="46"/>
    <s v="Projeto"/>
    <s v="CorporativoAssessment de Maturidade do Microsoft Azure Devops (DT)"/>
    <x v="46"/>
    <x v="31"/>
    <x v="21"/>
    <x v="0"/>
    <x v="0"/>
    <m/>
    <n v="0"/>
    <n v="0"/>
  </r>
  <r>
    <x v="46"/>
    <s v="Projeto"/>
    <s v="CorporativoAssessment de Maturidade do Microsoft Azure Devops (DT)"/>
    <x v="46"/>
    <x v="31"/>
    <x v="21"/>
    <x v="0"/>
    <x v="1"/>
    <m/>
    <n v="0"/>
    <n v="0"/>
  </r>
  <r>
    <x v="46"/>
    <s v="Projeto"/>
    <s v="CorporativoAssessment de Maturidade do Microsoft Azure Devops (DT)"/>
    <x v="46"/>
    <x v="31"/>
    <x v="21"/>
    <x v="0"/>
    <x v="2"/>
    <m/>
    <n v="0"/>
    <n v="0"/>
  </r>
  <r>
    <x v="46"/>
    <s v="Projeto"/>
    <s v="CorporativoAssessment de Maturidade do Microsoft Azure Devops (DT)"/>
    <x v="46"/>
    <x v="31"/>
    <x v="21"/>
    <x v="0"/>
    <x v="3"/>
    <m/>
    <n v="0"/>
    <n v="0"/>
  </r>
  <r>
    <x v="46"/>
    <s v="Projeto"/>
    <s v="CorporativoAssessment de Maturidade do Microsoft Azure Devops (DT)"/>
    <x v="46"/>
    <x v="31"/>
    <x v="21"/>
    <x v="0"/>
    <x v="4"/>
    <m/>
    <n v="0"/>
    <n v="0"/>
  </r>
  <r>
    <x v="46"/>
    <s v="Projeto"/>
    <s v="CorporativoAssessment de Maturidade do Microsoft Azure Devops (DT)"/>
    <x v="46"/>
    <x v="31"/>
    <x v="21"/>
    <x v="0"/>
    <x v="5"/>
    <m/>
    <n v="0"/>
    <n v="0"/>
  </r>
  <r>
    <x v="46"/>
    <s v="Projeto"/>
    <s v="CorporativoAssessment de Maturidade do Microsoft Azure Devops (DT)"/>
    <x v="46"/>
    <x v="31"/>
    <x v="21"/>
    <x v="0"/>
    <x v="6"/>
    <m/>
    <n v="0"/>
    <n v="0"/>
  </r>
  <r>
    <x v="46"/>
    <s v="Projeto"/>
    <s v="CorporativoAssessment de Maturidade do Microsoft Azure Devops (DT)"/>
    <x v="46"/>
    <x v="31"/>
    <x v="21"/>
    <x v="0"/>
    <x v="7"/>
    <n v="1"/>
    <n v="0"/>
    <n v="0"/>
  </r>
  <r>
    <x v="46"/>
    <s v="Projeto"/>
    <s v="CorporativoAssessment de Maturidade do Microsoft Azure Devops (DT)"/>
    <x v="46"/>
    <x v="31"/>
    <x v="21"/>
    <x v="0"/>
    <x v="8"/>
    <m/>
    <n v="0"/>
    <n v="0"/>
  </r>
  <r>
    <x v="46"/>
    <s v="Projeto"/>
    <s v="CorporativoAssessment de Maturidade do Microsoft Azure Devops (DT)"/>
    <x v="46"/>
    <x v="31"/>
    <x v="21"/>
    <x v="0"/>
    <x v="9"/>
    <m/>
    <n v="0"/>
    <n v="0"/>
  </r>
  <r>
    <x v="46"/>
    <s v="Projeto"/>
    <s v="CorporativoAssessment de Maturidade do Microsoft Azure Devops (DT)"/>
    <x v="46"/>
    <x v="31"/>
    <x v="21"/>
    <x v="0"/>
    <x v="10"/>
    <m/>
    <n v="0"/>
    <n v="0"/>
  </r>
  <r>
    <x v="46"/>
    <s v="Projeto"/>
    <s v="CorporativoAssessment de Maturidade do Microsoft Azure Devops (DT)"/>
    <x v="46"/>
    <x v="31"/>
    <x v="21"/>
    <x v="0"/>
    <x v="11"/>
    <m/>
    <n v="0"/>
    <n v="0"/>
  </r>
  <r>
    <x v="47"/>
    <s v="Projeto"/>
    <s v="CorporativoAumento da disponibilidade e segurança dos serviços de tecnologia que dependem de integração (DT)"/>
    <x v="47"/>
    <x v="32"/>
    <x v="21"/>
    <x v="0"/>
    <x v="0"/>
    <m/>
    <n v="0"/>
    <n v="0"/>
  </r>
  <r>
    <x v="47"/>
    <s v="Projeto"/>
    <s v="CorporativoAumento da disponibilidade e segurança dos serviços de tecnologia que dependem de integração (DT)"/>
    <x v="47"/>
    <x v="32"/>
    <x v="21"/>
    <x v="0"/>
    <x v="1"/>
    <m/>
    <n v="0"/>
    <n v="0"/>
  </r>
  <r>
    <x v="47"/>
    <s v="Projeto"/>
    <s v="CorporativoAumento da disponibilidade e segurança dos serviços de tecnologia que dependem de integração (DT)"/>
    <x v="47"/>
    <x v="32"/>
    <x v="21"/>
    <x v="0"/>
    <x v="2"/>
    <m/>
    <n v="0"/>
    <n v="0"/>
  </r>
  <r>
    <x v="47"/>
    <s v="Projeto"/>
    <s v="CorporativoAumento da disponibilidade e segurança dos serviços de tecnologia que dependem de integração (DT)"/>
    <x v="47"/>
    <x v="32"/>
    <x v="21"/>
    <x v="0"/>
    <x v="3"/>
    <m/>
    <n v="0"/>
    <n v="0"/>
  </r>
  <r>
    <x v="47"/>
    <s v="Projeto"/>
    <s v="CorporativoAumento da disponibilidade e segurança dos serviços de tecnologia que dependem de integração (DT)"/>
    <x v="47"/>
    <x v="32"/>
    <x v="21"/>
    <x v="0"/>
    <x v="4"/>
    <m/>
    <n v="0"/>
    <n v="0"/>
  </r>
  <r>
    <x v="47"/>
    <s v="Projeto"/>
    <s v="CorporativoAumento da disponibilidade e segurança dos serviços de tecnologia que dependem de integração (DT)"/>
    <x v="47"/>
    <x v="32"/>
    <x v="21"/>
    <x v="0"/>
    <x v="5"/>
    <m/>
    <n v="0"/>
    <n v="0"/>
  </r>
  <r>
    <x v="47"/>
    <s v="Projeto"/>
    <s v="CorporativoAumento da disponibilidade e segurança dos serviços de tecnologia que dependem de integração (DT)"/>
    <x v="47"/>
    <x v="32"/>
    <x v="21"/>
    <x v="0"/>
    <x v="6"/>
    <n v="0.4"/>
    <n v="0"/>
    <n v="0"/>
  </r>
  <r>
    <x v="47"/>
    <s v="Projeto"/>
    <s v="CorporativoAumento da disponibilidade e segurança dos serviços de tecnologia que dependem de integração (DT)"/>
    <x v="47"/>
    <x v="32"/>
    <x v="21"/>
    <x v="0"/>
    <x v="7"/>
    <n v="0.2"/>
    <n v="0"/>
    <n v="0"/>
  </r>
  <r>
    <x v="47"/>
    <s v="Projeto"/>
    <s v="CorporativoAumento da disponibilidade e segurança dos serviços de tecnologia que dependem de integração (DT)"/>
    <x v="47"/>
    <x v="32"/>
    <x v="21"/>
    <x v="0"/>
    <x v="8"/>
    <n v="0.4"/>
    <n v="0"/>
    <n v="0"/>
  </r>
  <r>
    <x v="47"/>
    <s v="Projeto"/>
    <s v="CorporativoAumento da disponibilidade e segurança dos serviços de tecnologia que dependem de integração (DT)"/>
    <x v="47"/>
    <x v="32"/>
    <x v="21"/>
    <x v="0"/>
    <x v="9"/>
    <m/>
    <n v="0"/>
    <n v="0"/>
  </r>
  <r>
    <x v="47"/>
    <s v="Projeto"/>
    <s v="CorporativoAumento da disponibilidade e segurança dos serviços de tecnologia que dependem de integração (DT)"/>
    <x v="47"/>
    <x v="32"/>
    <x v="21"/>
    <x v="0"/>
    <x v="10"/>
    <m/>
    <n v="0"/>
    <n v="0"/>
  </r>
  <r>
    <x v="47"/>
    <s v="Projeto"/>
    <s v="CorporativoAumento da disponibilidade e segurança dos serviços de tecnologia que dependem de integração (DT)"/>
    <x v="47"/>
    <x v="32"/>
    <x v="21"/>
    <x v="0"/>
    <x v="11"/>
    <m/>
    <n v="0"/>
    <n v="0"/>
  </r>
  <r>
    <x v="48"/>
    <s v="Projeto"/>
    <s v="CorporativoElaboração do mapa de arquitetura dos sistemas que suportam as áreas"/>
    <x v="48"/>
    <x v="33"/>
    <x v="21"/>
    <x v="0"/>
    <x v="0"/>
    <m/>
    <n v="0"/>
    <n v="0"/>
  </r>
  <r>
    <x v="48"/>
    <s v="Projeto"/>
    <s v="CorporativoElaboração do mapa de arquitetura dos sistemas que suportam as áreas"/>
    <x v="48"/>
    <x v="33"/>
    <x v="21"/>
    <x v="0"/>
    <x v="1"/>
    <m/>
    <n v="0"/>
    <n v="0"/>
  </r>
  <r>
    <x v="48"/>
    <s v="Projeto"/>
    <s v="CorporativoElaboração do mapa de arquitetura dos sistemas que suportam as áreas"/>
    <x v="48"/>
    <x v="33"/>
    <x v="21"/>
    <x v="0"/>
    <x v="2"/>
    <m/>
    <n v="0"/>
    <n v="0"/>
  </r>
  <r>
    <x v="48"/>
    <s v="Projeto"/>
    <s v="CorporativoElaboração do mapa de arquitetura dos sistemas que suportam as áreas"/>
    <x v="48"/>
    <x v="33"/>
    <x v="21"/>
    <x v="0"/>
    <x v="3"/>
    <m/>
    <n v="0"/>
    <n v="0"/>
  </r>
  <r>
    <x v="48"/>
    <s v="Projeto"/>
    <s v="CorporativoElaboração do mapa de arquitetura dos sistemas que suportam as áreas"/>
    <x v="48"/>
    <x v="33"/>
    <x v="21"/>
    <x v="0"/>
    <x v="4"/>
    <m/>
    <n v="0"/>
    <n v="0"/>
  </r>
  <r>
    <x v="48"/>
    <s v="Projeto"/>
    <s v="CorporativoElaboração do mapa de arquitetura dos sistemas que suportam as áreas"/>
    <x v="48"/>
    <x v="33"/>
    <x v="21"/>
    <x v="0"/>
    <x v="5"/>
    <n v="0.4"/>
    <n v="0"/>
    <n v="0"/>
  </r>
  <r>
    <x v="48"/>
    <s v="Projeto"/>
    <s v="CorporativoElaboração do mapa de arquitetura dos sistemas que suportam as áreas"/>
    <x v="48"/>
    <x v="33"/>
    <x v="21"/>
    <x v="0"/>
    <x v="6"/>
    <m/>
    <n v="0"/>
    <n v="0"/>
  </r>
  <r>
    <x v="48"/>
    <s v="Projeto"/>
    <s v="CorporativoElaboração do mapa de arquitetura dos sistemas que suportam as áreas"/>
    <x v="48"/>
    <x v="33"/>
    <x v="21"/>
    <x v="0"/>
    <x v="7"/>
    <m/>
    <n v="0"/>
    <n v="0"/>
  </r>
  <r>
    <x v="48"/>
    <s v="Projeto"/>
    <s v="CorporativoElaboração do mapa de arquitetura dos sistemas que suportam as áreas"/>
    <x v="48"/>
    <x v="33"/>
    <x v="21"/>
    <x v="0"/>
    <x v="8"/>
    <m/>
    <n v="0"/>
    <n v="0"/>
  </r>
  <r>
    <x v="48"/>
    <s v="Projeto"/>
    <s v="CorporativoElaboração do mapa de arquitetura dos sistemas que suportam as áreas"/>
    <x v="48"/>
    <x v="33"/>
    <x v="21"/>
    <x v="0"/>
    <x v="9"/>
    <n v="0.3"/>
    <n v="0"/>
    <n v="0"/>
  </r>
  <r>
    <x v="48"/>
    <s v="Projeto"/>
    <s v="CorporativoElaboração do mapa de arquitetura dos sistemas que suportam as áreas"/>
    <x v="48"/>
    <x v="33"/>
    <x v="21"/>
    <x v="0"/>
    <x v="10"/>
    <m/>
    <n v="0"/>
    <n v="0"/>
  </r>
  <r>
    <x v="48"/>
    <s v="Projeto"/>
    <s v="CorporativoElaboração do mapa de arquitetura dos sistemas que suportam as áreas"/>
    <x v="48"/>
    <x v="33"/>
    <x v="21"/>
    <x v="0"/>
    <x v="11"/>
    <n v="0.3"/>
    <n v="0"/>
    <n v="0"/>
  </r>
  <r>
    <x v="49"/>
    <s v="Projeto"/>
    <s v="CorporativoIntegração de Informações das áreas ao DW - Comercial"/>
    <x v="49"/>
    <x v="34"/>
    <x v="22"/>
    <x v="0"/>
    <x v="0"/>
    <m/>
    <n v="0"/>
    <n v="0"/>
  </r>
  <r>
    <x v="49"/>
    <s v="Projeto"/>
    <s v="CorporativoIntegração de Informações das áreas ao DW - Comercial"/>
    <x v="49"/>
    <x v="34"/>
    <x v="22"/>
    <x v="0"/>
    <x v="1"/>
    <m/>
    <n v="0"/>
    <n v="0"/>
  </r>
  <r>
    <x v="49"/>
    <s v="Projeto"/>
    <s v="CorporativoIntegração de Informações das áreas ao DW - Comercial"/>
    <x v="49"/>
    <x v="34"/>
    <x v="22"/>
    <x v="0"/>
    <x v="2"/>
    <m/>
    <n v="0"/>
    <n v="0"/>
  </r>
  <r>
    <x v="49"/>
    <s v="Projeto"/>
    <s v="CorporativoIntegração de Informações das áreas ao DW - Comercial"/>
    <x v="49"/>
    <x v="34"/>
    <x v="22"/>
    <x v="0"/>
    <x v="3"/>
    <n v="0.45"/>
    <n v="0.45"/>
    <n v="0.45"/>
  </r>
  <r>
    <x v="49"/>
    <s v="Projeto"/>
    <s v="CorporativoIntegração de Informações das áreas ao DW - Comercial"/>
    <x v="49"/>
    <x v="34"/>
    <x v="22"/>
    <x v="0"/>
    <x v="4"/>
    <n v="0.15"/>
    <n v="0"/>
    <n v="0.45"/>
  </r>
  <r>
    <x v="49"/>
    <s v="Projeto"/>
    <s v="CorporativoIntegração de Informações das áreas ao DW - Comercial"/>
    <x v="49"/>
    <x v="34"/>
    <x v="22"/>
    <x v="0"/>
    <x v="5"/>
    <m/>
    <n v="0"/>
    <n v="0.45"/>
  </r>
  <r>
    <x v="49"/>
    <s v="Projeto"/>
    <s v="CorporativoIntegração de Informações das áreas ao DW - Comercial"/>
    <x v="49"/>
    <x v="34"/>
    <x v="22"/>
    <x v="0"/>
    <x v="6"/>
    <m/>
    <n v="0"/>
    <n v="0.45"/>
  </r>
  <r>
    <x v="49"/>
    <s v="Projeto"/>
    <s v="CorporativoIntegração de Informações das áreas ao DW - Comercial"/>
    <x v="49"/>
    <x v="34"/>
    <x v="22"/>
    <x v="0"/>
    <x v="7"/>
    <m/>
    <n v="0"/>
    <n v="0.45"/>
  </r>
  <r>
    <x v="49"/>
    <s v="Projeto"/>
    <s v="CorporativoIntegração de Informações das áreas ao DW - Comercial"/>
    <x v="49"/>
    <x v="34"/>
    <x v="22"/>
    <x v="0"/>
    <x v="8"/>
    <m/>
    <n v="0"/>
    <n v="0.45"/>
  </r>
  <r>
    <x v="49"/>
    <s v="Projeto"/>
    <s v="CorporativoIntegração de Informações das áreas ao DW - Comercial"/>
    <x v="49"/>
    <x v="34"/>
    <x v="22"/>
    <x v="0"/>
    <x v="9"/>
    <m/>
    <n v="0"/>
    <n v="0.45"/>
  </r>
  <r>
    <x v="49"/>
    <s v="Projeto"/>
    <s v="CorporativoIntegração de Informações das áreas ao DW - Comercial"/>
    <x v="49"/>
    <x v="34"/>
    <x v="22"/>
    <x v="0"/>
    <x v="10"/>
    <m/>
    <n v="0"/>
    <n v="0.45"/>
  </r>
  <r>
    <x v="49"/>
    <s v="Projeto"/>
    <s v="CorporativoIntegração de Informações das áreas ao DW - Comercial"/>
    <x v="49"/>
    <x v="34"/>
    <x v="22"/>
    <x v="0"/>
    <x v="11"/>
    <n v="0.4"/>
    <n v="0"/>
    <n v="0.45"/>
  </r>
  <r>
    <x v="50"/>
    <s v="Projeto"/>
    <s v="CorporativoIntegração de Informações das áreas ao DW - Operação"/>
    <x v="50"/>
    <x v="35"/>
    <x v="23"/>
    <x v="0"/>
    <x v="0"/>
    <m/>
    <n v="0"/>
    <n v="0"/>
  </r>
  <r>
    <x v="50"/>
    <s v="Projeto"/>
    <s v="CorporativoIntegração de Informações das áreas ao DW - Operação"/>
    <x v="50"/>
    <x v="35"/>
    <x v="23"/>
    <x v="0"/>
    <x v="1"/>
    <m/>
    <n v="0"/>
    <n v="0"/>
  </r>
  <r>
    <x v="50"/>
    <s v="Projeto"/>
    <s v="CorporativoIntegração de Informações das áreas ao DW - Operação"/>
    <x v="50"/>
    <x v="35"/>
    <x v="23"/>
    <x v="0"/>
    <x v="2"/>
    <m/>
    <n v="0"/>
    <n v="0"/>
  </r>
  <r>
    <x v="50"/>
    <s v="Projeto"/>
    <s v="CorporativoIntegração de Informações das áreas ao DW - Operação"/>
    <x v="50"/>
    <x v="35"/>
    <x v="23"/>
    <x v="0"/>
    <x v="3"/>
    <n v="0.45"/>
    <n v="0.45"/>
    <n v="0.45"/>
  </r>
  <r>
    <x v="50"/>
    <s v="Projeto"/>
    <s v="CorporativoIntegração de Informações das áreas ao DW - Operação"/>
    <x v="50"/>
    <x v="35"/>
    <x v="23"/>
    <x v="0"/>
    <x v="4"/>
    <n v="0.15"/>
    <n v="0"/>
    <n v="0.45"/>
  </r>
  <r>
    <x v="50"/>
    <s v="Projeto"/>
    <s v="CorporativoIntegração de Informações das áreas ao DW - Operação"/>
    <x v="50"/>
    <x v="35"/>
    <x v="23"/>
    <x v="0"/>
    <x v="5"/>
    <m/>
    <n v="0"/>
    <n v="0.45"/>
  </r>
  <r>
    <x v="50"/>
    <s v="Projeto"/>
    <s v="CorporativoIntegração de Informações das áreas ao DW - Operação"/>
    <x v="50"/>
    <x v="35"/>
    <x v="23"/>
    <x v="0"/>
    <x v="6"/>
    <m/>
    <n v="0"/>
    <n v="0.45"/>
  </r>
  <r>
    <x v="50"/>
    <s v="Projeto"/>
    <s v="CorporativoIntegração de Informações das áreas ao DW - Operação"/>
    <x v="50"/>
    <x v="35"/>
    <x v="23"/>
    <x v="0"/>
    <x v="7"/>
    <m/>
    <n v="0"/>
    <n v="0.45"/>
  </r>
  <r>
    <x v="50"/>
    <s v="Projeto"/>
    <s v="CorporativoIntegração de Informações das áreas ao DW - Operação"/>
    <x v="50"/>
    <x v="35"/>
    <x v="23"/>
    <x v="0"/>
    <x v="8"/>
    <m/>
    <n v="0"/>
    <n v="0.45"/>
  </r>
  <r>
    <x v="50"/>
    <s v="Projeto"/>
    <s v="CorporativoIntegração de Informações das áreas ao DW - Operação"/>
    <x v="50"/>
    <x v="35"/>
    <x v="23"/>
    <x v="0"/>
    <x v="9"/>
    <m/>
    <n v="0"/>
    <n v="0.45"/>
  </r>
  <r>
    <x v="50"/>
    <s v="Projeto"/>
    <s v="CorporativoIntegração de Informações das áreas ao DW - Operação"/>
    <x v="50"/>
    <x v="35"/>
    <x v="23"/>
    <x v="0"/>
    <x v="10"/>
    <m/>
    <n v="0"/>
    <n v="0.45"/>
  </r>
  <r>
    <x v="50"/>
    <s v="Projeto"/>
    <s v="CorporativoIntegração de Informações das áreas ao DW - Operação"/>
    <x v="50"/>
    <x v="35"/>
    <x v="23"/>
    <x v="0"/>
    <x v="11"/>
    <n v="0.4"/>
    <n v="0"/>
    <n v="0.45"/>
  </r>
  <r>
    <x v="51"/>
    <s v="Projeto"/>
    <s v="CorporativoIntegração de Informações das áreas ao DW - RH"/>
    <x v="51"/>
    <x v="3"/>
    <x v="24"/>
    <x v="0"/>
    <x v="0"/>
    <m/>
    <n v="0"/>
    <n v="0"/>
  </r>
  <r>
    <x v="51"/>
    <s v="Projeto"/>
    <s v="CorporativoIntegração de Informações das áreas ao DW - RH"/>
    <x v="51"/>
    <x v="3"/>
    <x v="24"/>
    <x v="0"/>
    <x v="1"/>
    <m/>
    <n v="0"/>
    <n v="0"/>
  </r>
  <r>
    <x v="51"/>
    <s v="Projeto"/>
    <s v="CorporativoIntegração de Informações das áreas ao DW - RH"/>
    <x v="51"/>
    <x v="3"/>
    <x v="24"/>
    <x v="0"/>
    <x v="2"/>
    <m/>
    <n v="0"/>
    <n v="0"/>
  </r>
  <r>
    <x v="51"/>
    <s v="Projeto"/>
    <s v="CorporativoIntegração de Informações das áreas ao DW - RH"/>
    <x v="51"/>
    <x v="3"/>
    <x v="24"/>
    <x v="0"/>
    <x v="3"/>
    <n v="0.15"/>
    <n v="0.15"/>
    <n v="0.15"/>
  </r>
  <r>
    <x v="51"/>
    <s v="Projeto"/>
    <s v="CorporativoIntegração de Informações das áreas ao DW - RH"/>
    <x v="51"/>
    <x v="3"/>
    <x v="24"/>
    <x v="0"/>
    <x v="4"/>
    <n v="0.15"/>
    <n v="0"/>
    <n v="0.15"/>
  </r>
  <r>
    <x v="51"/>
    <s v="Projeto"/>
    <s v="CorporativoIntegração de Informações das áreas ao DW - RH"/>
    <x v="51"/>
    <x v="3"/>
    <x v="24"/>
    <x v="0"/>
    <x v="5"/>
    <n v="0.3"/>
    <n v="0"/>
    <n v="0.15"/>
  </r>
  <r>
    <x v="51"/>
    <s v="Projeto"/>
    <s v="CorporativoIntegração de Informações das áreas ao DW - RH"/>
    <x v="51"/>
    <x v="3"/>
    <x v="24"/>
    <x v="0"/>
    <x v="6"/>
    <m/>
    <n v="0"/>
    <n v="0.15"/>
  </r>
  <r>
    <x v="51"/>
    <s v="Projeto"/>
    <s v="CorporativoIntegração de Informações das áreas ao DW - RH"/>
    <x v="51"/>
    <x v="3"/>
    <x v="24"/>
    <x v="0"/>
    <x v="7"/>
    <m/>
    <n v="0"/>
    <n v="0.15"/>
  </r>
  <r>
    <x v="51"/>
    <s v="Projeto"/>
    <s v="CorporativoIntegração de Informações das áreas ao DW - RH"/>
    <x v="51"/>
    <x v="3"/>
    <x v="24"/>
    <x v="0"/>
    <x v="8"/>
    <m/>
    <n v="0"/>
    <n v="0.15"/>
  </r>
  <r>
    <x v="51"/>
    <s v="Projeto"/>
    <s v="CorporativoIntegração de Informações das áreas ao DW - RH"/>
    <x v="51"/>
    <x v="3"/>
    <x v="24"/>
    <x v="0"/>
    <x v="9"/>
    <m/>
    <n v="0"/>
    <n v="0.15"/>
  </r>
  <r>
    <x v="51"/>
    <s v="Projeto"/>
    <s v="CorporativoIntegração de Informações das áreas ao DW - RH"/>
    <x v="51"/>
    <x v="3"/>
    <x v="24"/>
    <x v="0"/>
    <x v="10"/>
    <m/>
    <n v="0"/>
    <n v="0.15"/>
  </r>
  <r>
    <x v="51"/>
    <s v="Projeto"/>
    <s v="CorporativoIntegração de Informações das áreas ao DW - RH"/>
    <x v="51"/>
    <x v="3"/>
    <x v="24"/>
    <x v="0"/>
    <x v="11"/>
    <n v="0.4"/>
    <n v="0"/>
    <n v="0.15"/>
  </r>
  <r>
    <x v="52"/>
    <s v="Projeto"/>
    <s v="CorporativoIntegração de Informações das áreas ao DW - Sustentabilidade"/>
    <x v="52"/>
    <x v="3"/>
    <x v="25"/>
    <x v="0"/>
    <x v="0"/>
    <m/>
    <n v="0"/>
    <n v="0"/>
  </r>
  <r>
    <x v="52"/>
    <s v="Projeto"/>
    <s v="CorporativoIntegração de Informações das áreas ao DW - Sustentabilidade"/>
    <x v="52"/>
    <x v="3"/>
    <x v="25"/>
    <x v="0"/>
    <x v="1"/>
    <m/>
    <n v="0"/>
    <n v="0"/>
  </r>
  <r>
    <x v="52"/>
    <s v="Projeto"/>
    <s v="CorporativoIntegração de Informações das áreas ao DW - Sustentabilidade"/>
    <x v="52"/>
    <x v="3"/>
    <x v="25"/>
    <x v="0"/>
    <x v="2"/>
    <m/>
    <n v="0"/>
    <n v="0"/>
  </r>
  <r>
    <x v="52"/>
    <s v="Projeto"/>
    <s v="CorporativoIntegração de Informações das áreas ao DW - Sustentabilidade"/>
    <x v="52"/>
    <x v="3"/>
    <x v="25"/>
    <x v="0"/>
    <x v="3"/>
    <n v="0.15"/>
    <n v="0.15"/>
    <n v="0.15"/>
  </r>
  <r>
    <x v="52"/>
    <s v="Projeto"/>
    <s v="CorporativoIntegração de Informações das áreas ao DW - Sustentabilidade"/>
    <x v="52"/>
    <x v="3"/>
    <x v="25"/>
    <x v="0"/>
    <x v="4"/>
    <n v="0.15"/>
    <n v="0"/>
    <n v="0.15"/>
  </r>
  <r>
    <x v="52"/>
    <s v="Projeto"/>
    <s v="CorporativoIntegração de Informações das áreas ao DW - Sustentabilidade"/>
    <x v="52"/>
    <x v="3"/>
    <x v="25"/>
    <x v="0"/>
    <x v="5"/>
    <n v="0.3"/>
    <n v="0"/>
    <n v="0.15"/>
  </r>
  <r>
    <x v="52"/>
    <s v="Projeto"/>
    <s v="CorporativoIntegração de Informações das áreas ao DW - Sustentabilidade"/>
    <x v="52"/>
    <x v="3"/>
    <x v="25"/>
    <x v="0"/>
    <x v="6"/>
    <m/>
    <n v="0"/>
    <n v="0.15"/>
  </r>
  <r>
    <x v="52"/>
    <s v="Projeto"/>
    <s v="CorporativoIntegração de Informações das áreas ao DW - Sustentabilidade"/>
    <x v="52"/>
    <x v="3"/>
    <x v="25"/>
    <x v="0"/>
    <x v="7"/>
    <m/>
    <n v="0"/>
    <n v="0.15"/>
  </r>
  <r>
    <x v="52"/>
    <s v="Projeto"/>
    <s v="CorporativoIntegração de Informações das áreas ao DW - Sustentabilidade"/>
    <x v="52"/>
    <x v="3"/>
    <x v="25"/>
    <x v="0"/>
    <x v="8"/>
    <m/>
    <n v="0"/>
    <n v="0.15"/>
  </r>
  <r>
    <x v="52"/>
    <s v="Projeto"/>
    <s v="CorporativoIntegração de Informações das áreas ao DW - Sustentabilidade"/>
    <x v="52"/>
    <x v="3"/>
    <x v="25"/>
    <x v="0"/>
    <x v="9"/>
    <m/>
    <n v="0"/>
    <n v="0.15"/>
  </r>
  <r>
    <x v="52"/>
    <s v="Projeto"/>
    <s v="CorporativoIntegração de Informações das áreas ao DW - Sustentabilidade"/>
    <x v="52"/>
    <x v="3"/>
    <x v="25"/>
    <x v="0"/>
    <x v="10"/>
    <m/>
    <n v="0"/>
    <n v="0.15"/>
  </r>
  <r>
    <x v="52"/>
    <s v="Projeto"/>
    <s v="CorporativoIntegração de Informações das áreas ao DW - Sustentabilidade"/>
    <x v="52"/>
    <x v="3"/>
    <x v="25"/>
    <x v="0"/>
    <x v="11"/>
    <n v="0.4"/>
    <n v="0"/>
    <n v="0.1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1" cacheId="0" dataOnRows="1" applyNumberFormats="0" applyBorderFormats="0" applyFontFormats="0" applyPatternFormats="0" applyAlignmentFormats="0" applyWidthHeightFormats="1" dataCaption="Métrica" updatedVersion="6" minRefreshableVersion="3" useAutoFormatting="1" rowGrandTotals="0" colGrandTotals="0" itemPrintTitles="1" createdVersion="6" indent="0" compact="0" compactData="0" multipleFieldFilters="0">
  <location ref="A1:R41" firstHeaderRow="1" firstDataRow="2" firstDataCol="6"/>
  <pivotFields count="12">
    <pivotField axis="axisRow" compact="0" outline="0" showAll="0" defaultSubtotal="0">
      <items count="5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</items>
    </pivotField>
    <pivotField compact="0" outline="0" showAll="0" defaultSubtotal="0"/>
    <pivotField compact="0" outline="0" showAll="0" defaultSubtotal="0"/>
    <pivotField axis="axisRow" compact="0" outline="0" showAll="0" defaultSubtotal="0">
      <items count="54">
        <item h="1" x="46"/>
        <item h="1" x="26"/>
        <item h="1" x="10"/>
        <item h="1" x="40"/>
        <item h="1" x="44"/>
        <item h="1" x="32"/>
        <item h="1" x="47"/>
        <item h="1" x="27"/>
        <item h="1" x="2"/>
        <item x="38"/>
        <item x="42"/>
        <item x="29"/>
        <item x="34"/>
        <item x="20"/>
        <item x="22"/>
        <item x="11"/>
        <item x="18"/>
        <item x="43"/>
        <item x="41"/>
        <item x="28"/>
        <item x="33"/>
        <item m="1" x="53"/>
        <item h="1" x="16"/>
        <item h="1" x="8"/>
        <item h="1" x="36"/>
        <item h="1" x="21"/>
        <item h="1" x="19"/>
        <item h="1" x="48"/>
        <item h="1" x="31"/>
        <item h="1" x="30"/>
        <item h="1" x="12"/>
        <item h="1" x="7"/>
        <item h="1" x="24"/>
        <item h="1" x="3"/>
        <item h="1" x="4"/>
        <item h="1" x="35"/>
        <item h="1" x="49"/>
        <item h="1" x="6"/>
        <item h="1" x="0"/>
        <item h="1" x="50"/>
        <item h="1" x="51"/>
        <item h="1" x="1"/>
        <item h="1" x="52"/>
        <item h="1" x="9"/>
        <item h="1" x="15"/>
        <item h="1" x="39"/>
        <item h="1" x="5"/>
        <item h="1" x="37"/>
        <item h="1" x="13"/>
        <item h="1" x="45"/>
        <item h="1" x="25"/>
        <item h="1" x="23"/>
        <item h="1" x="14"/>
        <item x="17"/>
      </items>
    </pivotField>
    <pivotField axis="axisRow" compact="0" outline="0" showAll="0" defaultSubtotal="0">
      <items count="39">
        <item x="3"/>
        <item x="5"/>
        <item m="1" x="36"/>
        <item x="34"/>
        <item x="32"/>
        <item x="20"/>
        <item x="11"/>
        <item x="24"/>
        <item x="29"/>
        <item x="25"/>
        <item x="0"/>
        <item x="23"/>
        <item x="9"/>
        <item x="13"/>
        <item x="12"/>
        <item x="4"/>
        <item x="27"/>
        <item x="19"/>
        <item x="30"/>
        <item x="17"/>
        <item m="1" x="37"/>
        <item x="18"/>
        <item x="14"/>
        <item x="1"/>
        <item m="1" x="38"/>
        <item x="35"/>
        <item x="28"/>
        <item x="31"/>
        <item x="16"/>
        <item x="33"/>
        <item x="26"/>
        <item x="15"/>
        <item x="6"/>
        <item x="7"/>
        <item x="21"/>
        <item x="2"/>
        <item x="22"/>
        <item x="8"/>
        <item x="10"/>
      </items>
    </pivotField>
    <pivotField axis="axisRow" compact="0" outline="0" showAll="0" defaultSubtotal="0">
      <items count="26">
        <item x="14"/>
        <item x="9"/>
        <item x="7"/>
        <item x="17"/>
        <item x="10"/>
        <item x="5"/>
        <item x="21"/>
        <item x="2"/>
        <item x="0"/>
        <item x="18"/>
        <item x="20"/>
        <item x="1"/>
        <item x="15"/>
        <item x="24"/>
        <item x="3"/>
        <item x="11"/>
        <item x="13"/>
        <item x="6"/>
        <item x="22"/>
        <item x="23"/>
        <item x="16"/>
        <item x="25"/>
        <item x="12"/>
        <item x="4"/>
        <item x="8"/>
        <item x="19"/>
      </items>
    </pivotField>
    <pivotField axis="axisRow" compact="0" outline="0" showAll="0" defaultSubtotal="0">
      <items count="1">
        <item n="J" x="0"/>
      </items>
    </pivotField>
    <pivotField compact="0" numFmtId="164" outline="0" showAll="0" defaultSubtotal="0">
      <items count="3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</items>
    </pivotField>
    <pivotField dataField="1" compact="0" outline="0" showAll="0" defaultSubtotal="0"/>
    <pivotField dataField="1" compact="0" outline="0" showAll="0" defaultSubtotal="0"/>
    <pivotField dataField="1" compact="0" numFmtId="9" outline="0" showAll="0" defaultSubtotal="0"/>
    <pivotField axis="axisCol" compact="0" outline="0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6">
    <field x="0"/>
    <field x="3"/>
    <field x="5"/>
    <field x="4"/>
    <field x="6"/>
    <field x="-2"/>
  </rowFields>
  <rowItems count="39">
    <i>
      <x v="11"/>
      <x v="15"/>
      <x v="2"/>
      <x v="38"/>
      <x/>
      <x/>
    </i>
    <i r="5" i="1">
      <x v="1"/>
    </i>
    <i r="5" i="2">
      <x v="2"/>
    </i>
    <i>
      <x v="17"/>
      <x v="53"/>
      <x v="1"/>
      <x v="38"/>
      <x/>
      <x/>
    </i>
    <i r="5" i="1">
      <x v="1"/>
    </i>
    <i r="5" i="2">
      <x v="2"/>
    </i>
    <i>
      <x v="18"/>
      <x v="16"/>
      <x v="4"/>
      <x v="38"/>
      <x/>
      <x/>
    </i>
    <i r="5" i="1">
      <x v="1"/>
    </i>
    <i r="5" i="2">
      <x v="2"/>
    </i>
    <i>
      <x v="20"/>
      <x v="13"/>
      <x v="15"/>
      <x v="38"/>
      <x/>
      <x/>
    </i>
    <i r="5" i="1">
      <x v="1"/>
    </i>
    <i r="5" i="2">
      <x v="2"/>
    </i>
    <i>
      <x v="22"/>
      <x v="14"/>
      <x v="22"/>
      <x v="38"/>
      <x/>
      <x/>
    </i>
    <i r="5" i="1">
      <x v="1"/>
    </i>
    <i r="5" i="2">
      <x v="2"/>
    </i>
    <i>
      <x v="28"/>
      <x v="19"/>
      <x/>
      <x v="38"/>
      <x/>
      <x/>
    </i>
    <i r="5" i="1">
      <x v="1"/>
    </i>
    <i r="5" i="2">
      <x v="2"/>
    </i>
    <i>
      <x v="29"/>
      <x v="11"/>
      <x/>
      <x v="38"/>
      <x/>
      <x/>
    </i>
    <i r="5" i="1">
      <x v="1"/>
    </i>
    <i r="5" i="2">
      <x v="2"/>
    </i>
    <i>
      <x v="33"/>
      <x v="20"/>
      <x v="12"/>
      <x v="38"/>
      <x/>
      <x/>
    </i>
    <i r="5" i="1">
      <x v="1"/>
    </i>
    <i r="5" i="2">
      <x v="2"/>
    </i>
    <i>
      <x v="34"/>
      <x v="12"/>
      <x v="12"/>
      <x v="38"/>
      <x/>
      <x/>
    </i>
    <i r="5" i="1">
      <x v="1"/>
    </i>
    <i r="5" i="2">
      <x v="2"/>
    </i>
    <i>
      <x v="38"/>
      <x v="9"/>
      <x v="9"/>
      <x v="38"/>
      <x/>
      <x/>
    </i>
    <i r="5" i="1">
      <x v="1"/>
    </i>
    <i r="5" i="2">
      <x v="2"/>
    </i>
    <i>
      <x v="41"/>
      <x v="18"/>
      <x v="25"/>
      <x v="38"/>
      <x/>
      <x/>
    </i>
    <i r="5" i="1">
      <x v="1"/>
    </i>
    <i r="5" i="2">
      <x v="2"/>
    </i>
    <i>
      <x v="42"/>
      <x v="10"/>
      <x v="25"/>
      <x v="38"/>
      <x/>
      <x/>
    </i>
    <i r="5" i="1">
      <x v="1"/>
    </i>
    <i r="5" i="2">
      <x v="2"/>
    </i>
    <i>
      <x v="43"/>
      <x v="17"/>
      <x v="10"/>
      <x v="38"/>
      <x/>
      <x/>
    </i>
    <i r="5" i="1">
      <x v="1"/>
    </i>
    <i r="5" i="2">
      <x v="2"/>
    </i>
  </rowItems>
  <colFields count="1">
    <field x="11"/>
  </colFields>
  <colItems count="12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</colItems>
  <dataFields count="3">
    <dataField name=" Meta" fld="8" baseField="3" baseItem="38"/>
    <dataField name=" Realizado" fld="9" baseField="6" baseItem="0"/>
    <dataField name=" Acumulado" fld="10" baseField="6" baseItem="0"/>
  </dataFields>
  <formats count="40">
    <format dxfId="39">
      <pivotArea dataOnly="0" labelOnly="1" outline="0" fieldPosition="0">
        <references count="1">
          <reference field="6" count="0"/>
        </references>
      </pivotArea>
    </format>
    <format dxfId="38">
      <pivotArea outline="0" collapsedLevelsAreSubtotals="1" fieldPosition="0"/>
    </format>
    <format dxfId="37">
      <pivotArea type="all" dataOnly="0" outline="0" fieldPosition="0"/>
    </format>
    <format dxfId="36">
      <pivotArea dataOnly="0" labelOnly="1" outline="0" fieldPosition="0">
        <references count="1">
          <reference field="3" count="0"/>
        </references>
      </pivotArea>
    </format>
    <format dxfId="35">
      <pivotArea dataOnly="0" outline="0" fieldPosition="0">
        <references count="1">
          <reference field="6" count="0"/>
        </references>
      </pivotArea>
    </format>
    <format dxfId="34">
      <pivotArea dataOnly="0" outline="0" fieldPosition="0">
        <references count="1">
          <reference field="6" count="0"/>
        </references>
      </pivotArea>
    </format>
    <format dxfId="33">
      <pivotArea dataOnly="0" outline="0" fieldPosition="0">
        <references count="1">
          <reference field="6" count="0"/>
        </references>
      </pivotArea>
    </format>
    <format dxfId="32">
      <pivotArea dataOnly="0" outline="0" fieldPosition="0">
        <references count="1">
          <reference field="6" count="0"/>
        </references>
      </pivotArea>
    </format>
    <format dxfId="31">
      <pivotArea dataOnly="0" labelOnly="1" outline="0" fieldPosition="0">
        <references count="1">
          <reference field="4294967294" count="0"/>
        </references>
      </pivotArea>
    </format>
    <format dxfId="30">
      <pivotArea dataOnly="0" labelOnly="1" outline="0" fieldPosition="0">
        <references count="1">
          <reference field="4294967294" count="0"/>
        </references>
      </pivotArea>
    </format>
    <format dxfId="29">
      <pivotArea dataOnly="0" labelOnly="1" outline="0" fieldPosition="0">
        <references count="1">
          <reference field="4294967294" count="0"/>
        </references>
      </pivotArea>
    </format>
    <format dxfId="28">
      <pivotArea outline="0" collapsedLevelsAreSubtotals="1" fieldPosition="0"/>
    </format>
    <format dxfId="27">
      <pivotArea dataOnly="0" labelOnly="1" outline="0" fieldPosition="0">
        <references count="1">
          <reference field="4" count="0"/>
        </references>
      </pivotArea>
    </format>
    <format dxfId="26">
      <pivotArea dataOnly="0" labelOnly="1" outline="0" fieldPosition="0">
        <references count="3">
          <reference field="0" count="1" selected="0">
            <x v="0"/>
          </reference>
          <reference field="3" count="1" selected="0">
            <x v="38"/>
          </reference>
          <reference field="5" count="1">
            <x v="8"/>
          </reference>
        </references>
      </pivotArea>
    </format>
    <format dxfId="25">
      <pivotArea dataOnly="0" labelOnly="1" outline="0" fieldPosition="0">
        <references count="3">
          <reference field="0" count="1" selected="0">
            <x v="1"/>
          </reference>
          <reference field="3" count="1" selected="0">
            <x v="41"/>
          </reference>
          <reference field="5" count="1">
            <x v="11"/>
          </reference>
        </references>
      </pivotArea>
    </format>
    <format dxfId="24">
      <pivotArea dataOnly="0" labelOnly="1" outline="0" fieldPosition="0">
        <references count="3">
          <reference field="0" count="1" selected="0">
            <x v="2"/>
          </reference>
          <reference field="3" count="1" selected="0">
            <x v="8"/>
          </reference>
          <reference field="5" count="1">
            <x v="7"/>
          </reference>
        </references>
      </pivotArea>
    </format>
    <format dxfId="23">
      <pivotArea dataOnly="0" labelOnly="1" outline="0" fieldPosition="0">
        <references count="3">
          <reference field="0" count="1" selected="0">
            <x v="3"/>
          </reference>
          <reference field="3" count="1" selected="0">
            <x v="33"/>
          </reference>
          <reference field="5" count="1">
            <x v="14"/>
          </reference>
        </references>
      </pivotArea>
    </format>
    <format dxfId="22">
      <pivotArea dataOnly="0" labelOnly="1" outline="0" fieldPosition="0">
        <references count="3">
          <reference field="0" count="1" selected="0">
            <x v="5"/>
          </reference>
          <reference field="3" count="1" selected="0">
            <x v="46"/>
          </reference>
          <reference field="5" count="1">
            <x v="23"/>
          </reference>
        </references>
      </pivotArea>
    </format>
    <format dxfId="21">
      <pivotArea dataOnly="0" labelOnly="1" outline="0" fieldPosition="0">
        <references count="3">
          <reference field="0" count="1" selected="0">
            <x v="7"/>
          </reference>
          <reference field="3" count="1" selected="0">
            <x v="31"/>
          </reference>
          <reference field="5" count="1">
            <x v="5"/>
          </reference>
        </references>
      </pivotArea>
    </format>
    <format dxfId="20">
      <pivotArea dataOnly="0" labelOnly="1" outline="0" fieldPosition="0">
        <references count="3">
          <reference field="0" count="1" selected="0">
            <x v="9"/>
          </reference>
          <reference field="3" count="1" selected="0">
            <x v="43"/>
          </reference>
          <reference field="5" count="1">
            <x v="17"/>
          </reference>
        </references>
      </pivotArea>
    </format>
    <format dxfId="19">
      <pivotArea dataOnly="0" labelOnly="1" outline="0" fieldPosition="0">
        <references count="3">
          <reference field="0" count="1" selected="0">
            <x v="11"/>
          </reference>
          <reference field="3" count="1" selected="0">
            <x v="15"/>
          </reference>
          <reference field="5" count="1">
            <x v="2"/>
          </reference>
        </references>
      </pivotArea>
    </format>
    <format dxfId="18">
      <pivotArea dataOnly="0" labelOnly="1" outline="0" fieldPosition="0">
        <references count="3">
          <reference field="0" count="1" selected="0">
            <x v="14"/>
          </reference>
          <reference field="3" count="1" selected="0">
            <x v="52"/>
          </reference>
          <reference field="5" count="1">
            <x v="24"/>
          </reference>
        </references>
      </pivotArea>
    </format>
    <format dxfId="17">
      <pivotArea dataOnly="0" labelOnly="1" outline="0" fieldPosition="0">
        <references count="3">
          <reference field="0" count="1" selected="0">
            <x v="17"/>
          </reference>
          <reference field="3" count="1" selected="0">
            <x v="53"/>
          </reference>
          <reference field="5" count="1">
            <x v="1"/>
          </reference>
        </references>
      </pivotArea>
    </format>
    <format dxfId="16">
      <pivotArea dataOnly="0" labelOnly="1" outline="0" fieldPosition="0">
        <references count="3">
          <reference field="0" count="1" selected="0">
            <x v="18"/>
          </reference>
          <reference field="3" count="1" selected="0">
            <x v="16"/>
          </reference>
          <reference field="5" count="1">
            <x v="4"/>
          </reference>
        </references>
      </pivotArea>
    </format>
    <format dxfId="15">
      <pivotArea dataOnly="0" labelOnly="1" outline="0" fieldPosition="0">
        <references count="3">
          <reference field="0" count="1" selected="0">
            <x v="20"/>
          </reference>
          <reference field="3" count="1" selected="0">
            <x v="13"/>
          </reference>
          <reference field="5" count="1">
            <x v="15"/>
          </reference>
        </references>
      </pivotArea>
    </format>
    <format dxfId="14">
      <pivotArea dataOnly="0" labelOnly="1" outline="0" fieldPosition="0">
        <references count="3">
          <reference field="0" count="1" selected="0">
            <x v="22"/>
          </reference>
          <reference field="3" count="1" selected="0">
            <x v="14"/>
          </reference>
          <reference field="5" count="1">
            <x v="22"/>
          </reference>
        </references>
      </pivotArea>
    </format>
    <format dxfId="13">
      <pivotArea dataOnly="0" labelOnly="1" outline="0" fieldPosition="0">
        <references count="3">
          <reference field="0" count="1" selected="0">
            <x v="25"/>
          </reference>
          <reference field="3" count="1" selected="0">
            <x v="50"/>
          </reference>
          <reference field="5" count="1">
            <x v="16"/>
          </reference>
        </references>
      </pivotArea>
    </format>
    <format dxfId="12">
      <pivotArea dataOnly="0" labelOnly="1" outline="0" fieldPosition="0">
        <references count="3">
          <reference field="0" count="1" selected="0">
            <x v="28"/>
          </reference>
          <reference field="3" count="1" selected="0">
            <x v="19"/>
          </reference>
          <reference field="5" count="1">
            <x v="0"/>
          </reference>
        </references>
      </pivotArea>
    </format>
    <format dxfId="11">
      <pivotArea dataOnly="0" labelOnly="1" outline="0" fieldPosition="0">
        <references count="3">
          <reference field="0" count="1" selected="0">
            <x v="32"/>
          </reference>
          <reference field="3" count="1" selected="0">
            <x v="5"/>
          </reference>
          <reference field="5" count="1">
            <x v="12"/>
          </reference>
        </references>
      </pivotArea>
    </format>
    <format dxfId="10">
      <pivotArea dataOnly="0" labelOnly="1" outline="0" fieldPosition="0">
        <references count="3">
          <reference field="0" count="1" selected="0">
            <x v="35"/>
          </reference>
          <reference field="3" count="1" selected="0">
            <x v="35"/>
          </reference>
          <reference field="5" count="1">
            <x v="20"/>
          </reference>
        </references>
      </pivotArea>
    </format>
    <format dxfId="9">
      <pivotArea dataOnly="0" labelOnly="1" outline="0" fieldPosition="0">
        <references count="3">
          <reference field="0" count="1" selected="0">
            <x v="36"/>
          </reference>
          <reference field="3" count="1" selected="0">
            <x v="24"/>
          </reference>
          <reference field="5" count="1">
            <x v="3"/>
          </reference>
        </references>
      </pivotArea>
    </format>
    <format dxfId="8">
      <pivotArea dataOnly="0" labelOnly="1" outline="0" fieldPosition="0">
        <references count="3">
          <reference field="0" count="1" selected="0">
            <x v="38"/>
          </reference>
          <reference field="3" count="1" selected="0">
            <x v="9"/>
          </reference>
          <reference field="5" count="1">
            <x v="9"/>
          </reference>
        </references>
      </pivotArea>
    </format>
    <format dxfId="7">
      <pivotArea dataOnly="0" labelOnly="1" outline="0" fieldPosition="0">
        <references count="3">
          <reference field="0" count="1" selected="0">
            <x v="40"/>
          </reference>
          <reference field="3" count="1" selected="0">
            <x v="3"/>
          </reference>
          <reference field="5" count="1">
            <x v="25"/>
          </reference>
        </references>
      </pivotArea>
    </format>
    <format dxfId="6">
      <pivotArea dataOnly="0" labelOnly="1" outline="0" fieldPosition="0">
        <references count="3">
          <reference field="0" count="1" selected="0">
            <x v="43"/>
          </reference>
          <reference field="3" count="1" selected="0">
            <x v="17"/>
          </reference>
          <reference field="5" count="1">
            <x v="10"/>
          </reference>
        </references>
      </pivotArea>
    </format>
    <format dxfId="5">
      <pivotArea dataOnly="0" labelOnly="1" outline="0" fieldPosition="0">
        <references count="3">
          <reference field="0" count="1" selected="0">
            <x v="45"/>
          </reference>
          <reference field="3" count="1" selected="0">
            <x v="49"/>
          </reference>
          <reference field="5" count="1">
            <x v="6"/>
          </reference>
        </references>
      </pivotArea>
    </format>
    <format dxfId="4">
      <pivotArea dataOnly="0" labelOnly="1" outline="0" fieldPosition="0">
        <references count="3">
          <reference field="0" count="1" selected="0">
            <x v="49"/>
          </reference>
          <reference field="3" count="1" selected="0">
            <x v="36"/>
          </reference>
          <reference field="5" count="1">
            <x v="18"/>
          </reference>
        </references>
      </pivotArea>
    </format>
    <format dxfId="3">
      <pivotArea dataOnly="0" labelOnly="1" outline="0" fieldPosition="0">
        <references count="3">
          <reference field="0" count="1" selected="0">
            <x v="50"/>
          </reference>
          <reference field="3" count="1" selected="0">
            <x v="39"/>
          </reference>
          <reference field="5" count="1">
            <x v="19"/>
          </reference>
        </references>
      </pivotArea>
    </format>
    <format dxfId="2">
      <pivotArea dataOnly="0" labelOnly="1" outline="0" fieldPosition="0">
        <references count="3">
          <reference field="0" count="1" selected="0">
            <x v="51"/>
          </reference>
          <reference field="3" count="1" selected="0">
            <x v="40"/>
          </reference>
          <reference field="5" count="1">
            <x v="13"/>
          </reference>
        </references>
      </pivotArea>
    </format>
    <format dxfId="1">
      <pivotArea dataOnly="0" labelOnly="1" outline="0" fieldPosition="0">
        <references count="3">
          <reference field="0" count="1" selected="0">
            <x v="52"/>
          </reference>
          <reference field="3" count="1" selected="0">
            <x v="42"/>
          </reference>
          <reference field="5" count="1">
            <x v="21"/>
          </reference>
        </references>
      </pivotArea>
    </format>
    <format dxfId="0">
      <pivotArea dataOnly="0" labelOnly="1" outline="0" fieldPosition="0">
        <references count="5">
          <reference field="0" count="1" selected="0">
            <x v="0"/>
          </reference>
          <reference field="3" count="1" selected="0">
            <x v="38"/>
          </reference>
          <reference field="4" count="1" selected="0">
            <x v="10"/>
          </reference>
          <reference field="5" count="1" selected="0">
            <x v="8"/>
          </reference>
          <reference field="6" count="0"/>
        </references>
      </pivotArea>
    </format>
  </formats>
  <pivotTableStyleInfo name="PivotStyleMedium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K637"/>
  <sheetViews>
    <sheetView tabSelected="1" topLeftCell="A494" zoomScale="70" zoomScaleNormal="70" workbookViewId="0">
      <selection activeCell="E218" sqref="E218"/>
    </sheetView>
  </sheetViews>
  <sheetFormatPr defaultRowHeight="15"/>
  <cols>
    <col min="3" max="3" width="29.42578125" style="1" customWidth="1"/>
    <col min="4" max="4" width="45.42578125" style="1" customWidth="1"/>
    <col min="5" max="5" width="41.140625" customWidth="1"/>
    <col min="6" max="6" width="30.28515625" bestFit="1" customWidth="1"/>
    <col min="7" max="7" width="9.140625" style="1"/>
    <col min="8" max="8" width="10.140625" bestFit="1" customWidth="1"/>
    <col min="11" max="11" width="11.28515625" customWidth="1"/>
  </cols>
  <sheetData>
    <row r="1" spans="1:11" ht="50.1" customHeight="1">
      <c r="A1" s="16" t="s">
        <v>1</v>
      </c>
      <c r="B1" s="4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6" t="s">
        <v>8</v>
      </c>
      <c r="K1" s="7" t="s">
        <v>9</v>
      </c>
    </row>
    <row r="2" spans="1:11" ht="50.1" hidden="1" customHeight="1">
      <c r="A2" s="17">
        <f>INT((ROW(A2)-2)/12)+1</f>
        <v>1</v>
      </c>
      <c r="B2" s="13" t="s">
        <v>10</v>
      </c>
      <c r="C2" s="1" t="s">
        <v>13</v>
      </c>
      <c r="D2" s="1" t="s">
        <v>14</v>
      </c>
      <c r="E2" t="s">
        <v>177</v>
      </c>
      <c r="F2" t="s">
        <v>16</v>
      </c>
      <c r="G2" s="3" t="s">
        <v>176</v>
      </c>
      <c r="H2" s="2">
        <v>46023</v>
      </c>
      <c r="I2" s="36"/>
      <c r="J2" s="36">
        <v>0</v>
      </c>
      <c r="K2" s="33">
        <f>SUMIFS($J$2:J2,$C$2:C2,C2)</f>
        <v>0</v>
      </c>
    </row>
    <row r="3" spans="1:11" ht="50.1" hidden="1" customHeight="1">
      <c r="A3" s="17">
        <f t="shared" ref="A3:A66" si="0">INT((ROW(A3)-2)/12)+1</f>
        <v>1</v>
      </c>
      <c r="B3" s="14" t="s">
        <v>10</v>
      </c>
      <c r="C3" s="1" t="s">
        <v>13</v>
      </c>
      <c r="D3" s="1" t="s">
        <v>14</v>
      </c>
      <c r="E3" t="s">
        <v>177</v>
      </c>
      <c r="F3" t="s">
        <v>16</v>
      </c>
      <c r="G3" s="3" t="s">
        <v>176</v>
      </c>
      <c r="H3" s="2">
        <v>46054</v>
      </c>
      <c r="I3" s="36"/>
      <c r="J3" s="36">
        <v>0</v>
      </c>
      <c r="K3" s="33">
        <f>SUMIFS($J$2:J3,$C$2:C3,C3)</f>
        <v>0</v>
      </c>
    </row>
    <row r="4" spans="1:11" ht="50.1" hidden="1" customHeight="1">
      <c r="A4" s="17">
        <f t="shared" si="0"/>
        <v>1</v>
      </c>
      <c r="B4" s="14" t="s">
        <v>10</v>
      </c>
      <c r="C4" s="1" t="s">
        <v>13</v>
      </c>
      <c r="D4" s="1" t="s">
        <v>14</v>
      </c>
      <c r="E4" t="s">
        <v>177</v>
      </c>
      <c r="F4" t="s">
        <v>16</v>
      </c>
      <c r="G4" s="3" t="s">
        <v>176</v>
      </c>
      <c r="H4" s="2">
        <v>46082</v>
      </c>
      <c r="I4" s="36"/>
      <c r="J4" s="36">
        <v>0</v>
      </c>
      <c r="K4" s="33">
        <f>SUMIFS($J$2:J4,$C$2:C4,C4)</f>
        <v>0</v>
      </c>
    </row>
    <row r="5" spans="1:11" ht="50.1" hidden="1" customHeight="1">
      <c r="A5" s="17">
        <f t="shared" si="0"/>
        <v>1</v>
      </c>
      <c r="B5" s="14" t="s">
        <v>10</v>
      </c>
      <c r="C5" s="1" t="s">
        <v>13</v>
      </c>
      <c r="D5" s="1" t="s">
        <v>14</v>
      </c>
      <c r="E5" t="s">
        <v>177</v>
      </c>
      <c r="F5" t="s">
        <v>16</v>
      </c>
      <c r="G5" s="3" t="s">
        <v>176</v>
      </c>
      <c r="H5" s="2">
        <v>46113</v>
      </c>
      <c r="I5" s="36">
        <v>0.15</v>
      </c>
      <c r="J5" s="36">
        <v>0.15</v>
      </c>
      <c r="K5" s="33">
        <f>SUMIFS($J$2:J5,$C$2:C5,C5)</f>
        <v>0.15</v>
      </c>
    </row>
    <row r="6" spans="1:11" ht="50.1" hidden="1" customHeight="1">
      <c r="A6" s="17">
        <f t="shared" si="0"/>
        <v>1</v>
      </c>
      <c r="B6" s="14" t="s">
        <v>10</v>
      </c>
      <c r="C6" s="1" t="s">
        <v>13</v>
      </c>
      <c r="D6" s="1" t="s">
        <v>14</v>
      </c>
      <c r="E6" t="s">
        <v>177</v>
      </c>
      <c r="F6" t="s">
        <v>16</v>
      </c>
      <c r="G6" s="3" t="s">
        <v>176</v>
      </c>
      <c r="H6" s="2">
        <v>46143</v>
      </c>
      <c r="I6" s="36">
        <v>0.15</v>
      </c>
      <c r="J6" s="36">
        <v>0</v>
      </c>
      <c r="K6" s="33">
        <f>SUMIFS($J$2:J6,$C$2:C6,C6)</f>
        <v>0.15</v>
      </c>
    </row>
    <row r="7" spans="1:11" ht="50.1" hidden="1" customHeight="1">
      <c r="A7" s="17">
        <f t="shared" si="0"/>
        <v>1</v>
      </c>
      <c r="B7" s="14" t="s">
        <v>10</v>
      </c>
      <c r="C7" s="1" t="s">
        <v>13</v>
      </c>
      <c r="D7" s="1" t="s">
        <v>14</v>
      </c>
      <c r="E7" t="s">
        <v>177</v>
      </c>
      <c r="F7" t="s">
        <v>16</v>
      </c>
      <c r="G7" s="3" t="s">
        <v>176</v>
      </c>
      <c r="H7" s="2">
        <v>46174</v>
      </c>
      <c r="I7" s="36">
        <v>0.3</v>
      </c>
      <c r="J7" s="36">
        <v>0</v>
      </c>
      <c r="K7" s="33">
        <f>SUMIFS($J$2:J7,$C$2:C7,C7)</f>
        <v>0.15</v>
      </c>
    </row>
    <row r="8" spans="1:11" ht="50.1" hidden="1" customHeight="1">
      <c r="A8" s="17">
        <f t="shared" si="0"/>
        <v>1</v>
      </c>
      <c r="B8" s="14" t="s">
        <v>10</v>
      </c>
      <c r="C8" s="1" t="s">
        <v>13</v>
      </c>
      <c r="D8" s="1" t="s">
        <v>14</v>
      </c>
      <c r="E8" t="s">
        <v>177</v>
      </c>
      <c r="F8" t="s">
        <v>16</v>
      </c>
      <c r="G8" s="3" t="s">
        <v>176</v>
      </c>
      <c r="H8" s="2">
        <v>46204</v>
      </c>
      <c r="I8" s="36"/>
      <c r="J8" s="36">
        <v>0</v>
      </c>
      <c r="K8" s="33">
        <f>SUMIFS($J$2:J8,$C$2:C8,C8)</f>
        <v>0.15</v>
      </c>
    </row>
    <row r="9" spans="1:11" ht="50.1" hidden="1" customHeight="1">
      <c r="A9" s="17">
        <f t="shared" si="0"/>
        <v>1</v>
      </c>
      <c r="B9" s="14" t="s">
        <v>10</v>
      </c>
      <c r="C9" s="1" t="s">
        <v>13</v>
      </c>
      <c r="D9" s="1" t="s">
        <v>14</v>
      </c>
      <c r="E9" t="s">
        <v>177</v>
      </c>
      <c r="F9" t="s">
        <v>16</v>
      </c>
      <c r="G9" s="3" t="s">
        <v>176</v>
      </c>
      <c r="H9" s="2">
        <v>46235</v>
      </c>
      <c r="I9" s="36"/>
      <c r="J9" s="36">
        <v>0</v>
      </c>
      <c r="K9" s="33">
        <f>SUMIFS($J$2:J9,$C$2:C9,C9)</f>
        <v>0.15</v>
      </c>
    </row>
    <row r="10" spans="1:11" ht="50.1" hidden="1" customHeight="1">
      <c r="A10" s="17">
        <f t="shared" si="0"/>
        <v>1</v>
      </c>
      <c r="B10" s="14" t="s">
        <v>10</v>
      </c>
      <c r="C10" s="1" t="s">
        <v>13</v>
      </c>
      <c r="D10" s="1" t="s">
        <v>14</v>
      </c>
      <c r="E10" t="s">
        <v>177</v>
      </c>
      <c r="F10" t="s">
        <v>16</v>
      </c>
      <c r="G10" s="3" t="s">
        <v>176</v>
      </c>
      <c r="H10" s="2">
        <v>46266</v>
      </c>
      <c r="I10" s="36"/>
      <c r="J10" s="36">
        <v>0</v>
      </c>
      <c r="K10" s="33">
        <f>SUMIFS($J$2:J10,$C$2:C10,C10)</f>
        <v>0.15</v>
      </c>
    </row>
    <row r="11" spans="1:11" ht="50.1" hidden="1" customHeight="1">
      <c r="A11" s="17">
        <f t="shared" si="0"/>
        <v>1</v>
      </c>
      <c r="B11" s="14" t="s">
        <v>10</v>
      </c>
      <c r="C11" s="1" t="s">
        <v>13</v>
      </c>
      <c r="D11" s="1" t="s">
        <v>14</v>
      </c>
      <c r="E11" t="s">
        <v>177</v>
      </c>
      <c r="F11" t="s">
        <v>16</v>
      </c>
      <c r="G11" s="3" t="s">
        <v>176</v>
      </c>
      <c r="H11" s="2">
        <v>46296</v>
      </c>
      <c r="I11" s="36"/>
      <c r="J11" s="36">
        <v>0</v>
      </c>
      <c r="K11" s="33">
        <f>SUMIFS($J$2:J11,$C$2:C11,C11)</f>
        <v>0.15</v>
      </c>
    </row>
    <row r="12" spans="1:11" ht="50.1" hidden="1" customHeight="1">
      <c r="A12" s="17">
        <f t="shared" si="0"/>
        <v>1</v>
      </c>
      <c r="B12" s="14" t="s">
        <v>10</v>
      </c>
      <c r="C12" s="1" t="s">
        <v>13</v>
      </c>
      <c r="D12" s="1" t="s">
        <v>14</v>
      </c>
      <c r="E12" t="s">
        <v>177</v>
      </c>
      <c r="F12" t="s">
        <v>16</v>
      </c>
      <c r="G12" s="3" t="s">
        <v>176</v>
      </c>
      <c r="H12" s="2">
        <v>46327</v>
      </c>
      <c r="I12" s="36"/>
      <c r="J12" s="36">
        <v>0</v>
      </c>
      <c r="K12" s="33">
        <f>SUMIFS($J$2:J12,$C$2:C12,C12)</f>
        <v>0.15</v>
      </c>
    </row>
    <row r="13" spans="1:11" ht="50.1" hidden="1" customHeight="1">
      <c r="A13" s="17">
        <f t="shared" si="0"/>
        <v>1</v>
      </c>
      <c r="B13" s="14" t="s">
        <v>10</v>
      </c>
      <c r="C13" s="1" t="s">
        <v>13</v>
      </c>
      <c r="D13" s="1" t="s">
        <v>14</v>
      </c>
      <c r="E13" t="s">
        <v>177</v>
      </c>
      <c r="F13" t="s">
        <v>16</v>
      </c>
      <c r="G13" s="3" t="s">
        <v>176</v>
      </c>
      <c r="H13" s="2">
        <v>46357</v>
      </c>
      <c r="I13" s="36">
        <v>0.4</v>
      </c>
      <c r="J13" s="36">
        <v>0</v>
      </c>
      <c r="K13" s="33">
        <f>SUMIFS($J$2:J13,$C$2:C13,C13)</f>
        <v>0.15</v>
      </c>
    </row>
    <row r="14" spans="1:11" ht="50.1" hidden="1" customHeight="1">
      <c r="A14" s="17">
        <f t="shared" si="0"/>
        <v>2</v>
      </c>
      <c r="B14" s="14" t="s">
        <v>10</v>
      </c>
      <c r="C14" s="1" t="s">
        <v>17</v>
      </c>
      <c r="D14" s="1" t="s">
        <v>18</v>
      </c>
      <c r="E14" t="s">
        <v>19</v>
      </c>
      <c r="F14" t="s">
        <v>20</v>
      </c>
      <c r="G14" s="3" t="s">
        <v>176</v>
      </c>
      <c r="H14" s="2">
        <v>46023</v>
      </c>
      <c r="I14" s="36"/>
      <c r="J14" s="36">
        <v>0</v>
      </c>
      <c r="K14" s="33">
        <f>SUMIFS($J$2:J14,$C$2:C14,C14)</f>
        <v>0</v>
      </c>
    </row>
    <row r="15" spans="1:11" ht="50.1" hidden="1" customHeight="1">
      <c r="A15" s="17">
        <f t="shared" si="0"/>
        <v>2</v>
      </c>
      <c r="B15" s="14" t="s">
        <v>10</v>
      </c>
      <c r="C15" s="1" t="s">
        <v>17</v>
      </c>
      <c r="D15" s="1" t="s">
        <v>18</v>
      </c>
      <c r="E15" t="s">
        <v>19</v>
      </c>
      <c r="F15" t="s">
        <v>20</v>
      </c>
      <c r="G15" s="3" t="s">
        <v>176</v>
      </c>
      <c r="H15" s="2">
        <v>46054</v>
      </c>
      <c r="I15" s="36"/>
      <c r="J15" s="36">
        <v>0</v>
      </c>
      <c r="K15" s="33">
        <f>SUMIFS($J$2:J15,$C$2:C15,C15)</f>
        <v>0</v>
      </c>
    </row>
    <row r="16" spans="1:11" ht="50.1" hidden="1" customHeight="1">
      <c r="A16" s="17">
        <f t="shared" si="0"/>
        <v>2</v>
      </c>
      <c r="B16" s="14" t="s">
        <v>10</v>
      </c>
      <c r="C16" s="1" t="s">
        <v>17</v>
      </c>
      <c r="D16" s="1" t="s">
        <v>18</v>
      </c>
      <c r="E16" s="1" t="s">
        <v>19</v>
      </c>
      <c r="F16" t="s">
        <v>20</v>
      </c>
      <c r="G16" s="3" t="s">
        <v>176</v>
      </c>
      <c r="H16" s="2">
        <v>46082</v>
      </c>
      <c r="I16" s="36"/>
      <c r="J16" s="36">
        <v>0</v>
      </c>
      <c r="K16" s="33">
        <f>SUMIFS($J$2:J16,$C$2:C16,C16)</f>
        <v>0</v>
      </c>
    </row>
    <row r="17" spans="1:11" ht="50.1" hidden="1" customHeight="1">
      <c r="A17" s="17">
        <f t="shared" si="0"/>
        <v>2</v>
      </c>
      <c r="B17" s="14" t="s">
        <v>10</v>
      </c>
      <c r="C17" s="1" t="s">
        <v>17</v>
      </c>
      <c r="D17" s="1" t="s">
        <v>18</v>
      </c>
      <c r="E17" t="s">
        <v>19</v>
      </c>
      <c r="F17" t="s">
        <v>20</v>
      </c>
      <c r="G17" s="3" t="s">
        <v>176</v>
      </c>
      <c r="H17" s="2">
        <v>46113</v>
      </c>
      <c r="I17" s="36">
        <v>0.5</v>
      </c>
      <c r="J17" s="36">
        <v>0.5</v>
      </c>
      <c r="K17" s="33">
        <f>SUMIFS($J$2:J17,$C$2:C17,C17)</f>
        <v>0.5</v>
      </c>
    </row>
    <row r="18" spans="1:11" ht="50.1" hidden="1" customHeight="1">
      <c r="A18" s="17">
        <f t="shared" si="0"/>
        <v>2</v>
      </c>
      <c r="B18" s="14" t="s">
        <v>10</v>
      </c>
      <c r="C18" s="1" t="s">
        <v>17</v>
      </c>
      <c r="D18" s="1" t="s">
        <v>18</v>
      </c>
      <c r="E18" t="s">
        <v>19</v>
      </c>
      <c r="F18" t="s">
        <v>20</v>
      </c>
      <c r="G18" s="3" t="s">
        <v>176</v>
      </c>
      <c r="H18" s="2">
        <v>46143</v>
      </c>
      <c r="I18" s="36">
        <v>0.5</v>
      </c>
      <c r="J18" s="36">
        <v>0</v>
      </c>
      <c r="K18" s="33">
        <f>SUMIFS($J$2:J18,$C$2:C18,C18)</f>
        <v>0.5</v>
      </c>
    </row>
    <row r="19" spans="1:11" ht="50.1" hidden="1" customHeight="1">
      <c r="A19" s="17">
        <f t="shared" si="0"/>
        <v>2</v>
      </c>
      <c r="B19" s="14" t="s">
        <v>10</v>
      </c>
      <c r="C19" s="1" t="s">
        <v>17</v>
      </c>
      <c r="D19" s="1" t="s">
        <v>18</v>
      </c>
      <c r="E19" t="s">
        <v>19</v>
      </c>
      <c r="F19" t="s">
        <v>20</v>
      </c>
      <c r="G19" s="3" t="s">
        <v>176</v>
      </c>
      <c r="H19" s="2">
        <v>46174</v>
      </c>
      <c r="I19" s="36"/>
      <c r="J19" s="36">
        <v>0</v>
      </c>
      <c r="K19" s="33">
        <f>SUMIFS($J$2:J19,$C$2:C19,C19)</f>
        <v>0.5</v>
      </c>
    </row>
    <row r="20" spans="1:11" ht="50.1" hidden="1" customHeight="1">
      <c r="A20" s="17">
        <f t="shared" si="0"/>
        <v>2</v>
      </c>
      <c r="B20" s="14" t="s">
        <v>10</v>
      </c>
      <c r="C20" s="1" t="s">
        <v>17</v>
      </c>
      <c r="D20" s="1" t="s">
        <v>18</v>
      </c>
      <c r="E20" t="s">
        <v>19</v>
      </c>
      <c r="F20" t="s">
        <v>20</v>
      </c>
      <c r="G20" s="3" t="s">
        <v>176</v>
      </c>
      <c r="H20" s="2">
        <v>46204</v>
      </c>
      <c r="I20" s="36"/>
      <c r="J20" s="36">
        <v>0</v>
      </c>
      <c r="K20" s="33">
        <f>SUMIFS($J$2:J20,$C$2:C20,C20)</f>
        <v>0.5</v>
      </c>
    </row>
    <row r="21" spans="1:11" ht="50.1" hidden="1" customHeight="1">
      <c r="A21" s="17">
        <f t="shared" si="0"/>
        <v>2</v>
      </c>
      <c r="B21" s="14" t="s">
        <v>10</v>
      </c>
      <c r="C21" s="1" t="s">
        <v>17</v>
      </c>
      <c r="D21" s="1" t="s">
        <v>18</v>
      </c>
      <c r="E21" t="s">
        <v>19</v>
      </c>
      <c r="F21" t="s">
        <v>20</v>
      </c>
      <c r="G21" s="3" t="s">
        <v>176</v>
      </c>
      <c r="H21" s="2">
        <v>46235</v>
      </c>
      <c r="I21" s="36"/>
      <c r="J21" s="36">
        <v>0</v>
      </c>
      <c r="K21" s="33">
        <f>SUMIFS($J$2:J21,$C$2:C21,C21)</f>
        <v>0.5</v>
      </c>
    </row>
    <row r="22" spans="1:11" ht="50.1" hidden="1" customHeight="1">
      <c r="A22" s="17">
        <f t="shared" si="0"/>
        <v>2</v>
      </c>
      <c r="B22" s="14" t="s">
        <v>10</v>
      </c>
      <c r="C22" s="1" t="s">
        <v>17</v>
      </c>
      <c r="D22" s="1" t="s">
        <v>18</v>
      </c>
      <c r="E22" t="s">
        <v>19</v>
      </c>
      <c r="F22" t="s">
        <v>20</v>
      </c>
      <c r="G22" s="3" t="s">
        <v>176</v>
      </c>
      <c r="H22" s="2">
        <v>46266</v>
      </c>
      <c r="I22" s="36"/>
      <c r="J22" s="36">
        <v>0</v>
      </c>
      <c r="K22" s="33">
        <f>SUMIFS($J$2:J22,$C$2:C22,C22)</f>
        <v>0.5</v>
      </c>
    </row>
    <row r="23" spans="1:11" ht="50.1" hidden="1" customHeight="1">
      <c r="A23" s="17">
        <f t="shared" si="0"/>
        <v>2</v>
      </c>
      <c r="B23" s="14" t="s">
        <v>10</v>
      </c>
      <c r="C23" s="1" t="s">
        <v>17</v>
      </c>
      <c r="D23" s="1" t="s">
        <v>18</v>
      </c>
      <c r="E23" t="s">
        <v>19</v>
      </c>
      <c r="F23" t="s">
        <v>20</v>
      </c>
      <c r="G23" s="3" t="s">
        <v>176</v>
      </c>
      <c r="H23" s="2">
        <v>46296</v>
      </c>
      <c r="I23" s="36"/>
      <c r="J23" s="36">
        <v>0</v>
      </c>
      <c r="K23" s="33">
        <f>SUMIFS($J$2:J23,$C$2:C23,C23)</f>
        <v>0.5</v>
      </c>
    </row>
    <row r="24" spans="1:11" ht="50.1" hidden="1" customHeight="1">
      <c r="A24" s="17">
        <f t="shared" si="0"/>
        <v>2</v>
      </c>
      <c r="B24" s="14" t="s">
        <v>10</v>
      </c>
      <c r="C24" s="1" t="s">
        <v>17</v>
      </c>
      <c r="D24" s="1" t="s">
        <v>18</v>
      </c>
      <c r="E24" t="s">
        <v>19</v>
      </c>
      <c r="F24" t="s">
        <v>20</v>
      </c>
      <c r="G24" s="3" t="s">
        <v>176</v>
      </c>
      <c r="H24" s="2">
        <v>46327</v>
      </c>
      <c r="I24" s="36"/>
      <c r="J24" s="36">
        <v>0</v>
      </c>
      <c r="K24" s="33">
        <f>SUMIFS($J$2:J24,$C$2:C24,C24)</f>
        <v>0.5</v>
      </c>
    </row>
    <row r="25" spans="1:11" ht="50.1" hidden="1" customHeight="1">
      <c r="A25" s="17">
        <f t="shared" si="0"/>
        <v>2</v>
      </c>
      <c r="B25" s="14" t="s">
        <v>10</v>
      </c>
      <c r="C25" s="1" t="s">
        <v>17</v>
      </c>
      <c r="D25" s="1" t="s">
        <v>18</v>
      </c>
      <c r="E25" t="s">
        <v>19</v>
      </c>
      <c r="F25" t="s">
        <v>20</v>
      </c>
      <c r="G25" s="3" t="s">
        <v>176</v>
      </c>
      <c r="H25" s="2">
        <v>46357</v>
      </c>
      <c r="I25" s="36"/>
      <c r="J25" s="36">
        <v>0</v>
      </c>
      <c r="K25" s="33">
        <f>SUMIFS($J$2:J25,$C$2:C25,C25)</f>
        <v>0.5</v>
      </c>
    </row>
    <row r="26" spans="1:11" ht="50.1" hidden="1" customHeight="1">
      <c r="A26" s="17">
        <f t="shared" si="0"/>
        <v>3</v>
      </c>
      <c r="B26" s="14" t="s">
        <v>10</v>
      </c>
      <c r="C26" s="1" t="s">
        <v>21</v>
      </c>
      <c r="D26" s="1" t="s">
        <v>22</v>
      </c>
      <c r="E26" t="s">
        <v>23</v>
      </c>
      <c r="F26" t="s">
        <v>24</v>
      </c>
      <c r="G26" s="3" t="s">
        <v>176</v>
      </c>
      <c r="H26" s="2">
        <v>46023</v>
      </c>
      <c r="I26" s="36"/>
      <c r="J26" s="36">
        <v>0</v>
      </c>
      <c r="K26" s="33">
        <f>SUMIFS($J$2:J26,$C$2:C26,C26)</f>
        <v>0</v>
      </c>
    </row>
    <row r="27" spans="1:11" ht="50.1" hidden="1" customHeight="1">
      <c r="A27" s="17">
        <f t="shared" si="0"/>
        <v>3</v>
      </c>
      <c r="B27" s="14" t="s">
        <v>10</v>
      </c>
      <c r="C27" s="1" t="s">
        <v>21</v>
      </c>
      <c r="D27" s="1" t="s">
        <v>22</v>
      </c>
      <c r="E27" t="s">
        <v>23</v>
      </c>
      <c r="F27" t="s">
        <v>24</v>
      </c>
      <c r="G27" s="3" t="s">
        <v>176</v>
      </c>
      <c r="H27" s="2">
        <v>46054</v>
      </c>
      <c r="I27" s="36"/>
      <c r="J27" s="36">
        <v>0</v>
      </c>
      <c r="K27" s="33">
        <f>SUMIFS($J$2:J27,$C$2:C27,C27)</f>
        <v>0</v>
      </c>
    </row>
    <row r="28" spans="1:11" ht="50.1" hidden="1" customHeight="1">
      <c r="A28" s="17">
        <f t="shared" si="0"/>
        <v>3</v>
      </c>
      <c r="B28" s="14" t="s">
        <v>10</v>
      </c>
      <c r="C28" s="1" t="s">
        <v>21</v>
      </c>
      <c r="D28" s="1" t="s">
        <v>22</v>
      </c>
      <c r="E28" t="s">
        <v>23</v>
      </c>
      <c r="F28" t="s">
        <v>24</v>
      </c>
      <c r="G28" s="3" t="s">
        <v>176</v>
      </c>
      <c r="H28" s="2">
        <v>46082</v>
      </c>
      <c r="I28" s="36"/>
      <c r="J28" s="36">
        <v>0</v>
      </c>
      <c r="K28" s="33">
        <f>SUMIFS($J$2:J28,$C$2:C28,C28)</f>
        <v>0</v>
      </c>
    </row>
    <row r="29" spans="1:11" ht="50.1" hidden="1" customHeight="1">
      <c r="A29" s="17">
        <f t="shared" si="0"/>
        <v>3</v>
      </c>
      <c r="B29" s="14" t="s">
        <v>10</v>
      </c>
      <c r="C29" s="1" t="s">
        <v>21</v>
      </c>
      <c r="D29" s="1" t="s">
        <v>22</v>
      </c>
      <c r="E29" t="s">
        <v>23</v>
      </c>
      <c r="F29" t="s">
        <v>24</v>
      </c>
      <c r="G29" s="3" t="s">
        <v>176</v>
      </c>
      <c r="H29" s="2">
        <v>46113</v>
      </c>
      <c r="I29" s="36"/>
      <c r="J29" s="36">
        <v>0</v>
      </c>
      <c r="K29" s="33">
        <f>SUMIFS($J$2:J29,$C$2:C29,C29)</f>
        <v>0</v>
      </c>
    </row>
    <row r="30" spans="1:11" ht="50.1" hidden="1" customHeight="1">
      <c r="A30" s="17">
        <f t="shared" si="0"/>
        <v>3</v>
      </c>
      <c r="B30" s="14" t="s">
        <v>10</v>
      </c>
      <c r="C30" s="1" t="s">
        <v>21</v>
      </c>
      <c r="D30" s="1" t="s">
        <v>22</v>
      </c>
      <c r="E30" t="s">
        <v>23</v>
      </c>
      <c r="F30" t="s">
        <v>24</v>
      </c>
      <c r="G30" s="3" t="s">
        <v>176</v>
      </c>
      <c r="H30" s="2">
        <v>46143</v>
      </c>
      <c r="I30" s="36"/>
      <c r="J30" s="36">
        <v>0</v>
      </c>
      <c r="K30" s="33">
        <f>SUMIFS($J$2:J30,$C$2:C30,C30)</f>
        <v>0</v>
      </c>
    </row>
    <row r="31" spans="1:11" ht="50.1" hidden="1" customHeight="1">
      <c r="A31" s="17">
        <f t="shared" si="0"/>
        <v>3</v>
      </c>
      <c r="B31" s="14" t="s">
        <v>10</v>
      </c>
      <c r="C31" s="1" t="s">
        <v>21</v>
      </c>
      <c r="D31" s="1" t="s">
        <v>22</v>
      </c>
      <c r="E31" t="s">
        <v>23</v>
      </c>
      <c r="F31" t="s">
        <v>24</v>
      </c>
      <c r="G31" s="3" t="s">
        <v>176</v>
      </c>
      <c r="H31" s="2">
        <v>46174</v>
      </c>
      <c r="I31" s="36">
        <v>0.3</v>
      </c>
      <c r="J31" s="36">
        <v>0</v>
      </c>
      <c r="K31" s="33">
        <f>SUMIFS($J$2:J31,$C$2:C31,C31)</f>
        <v>0</v>
      </c>
    </row>
    <row r="32" spans="1:11" ht="50.1" hidden="1" customHeight="1">
      <c r="A32" s="17">
        <f t="shared" si="0"/>
        <v>3</v>
      </c>
      <c r="B32" s="14" t="s">
        <v>10</v>
      </c>
      <c r="C32" s="1" t="s">
        <v>21</v>
      </c>
      <c r="D32" s="1" t="s">
        <v>22</v>
      </c>
      <c r="E32" t="s">
        <v>23</v>
      </c>
      <c r="F32" t="s">
        <v>24</v>
      </c>
      <c r="G32" s="3" t="s">
        <v>176</v>
      </c>
      <c r="H32" s="2">
        <v>46204</v>
      </c>
      <c r="I32" s="36"/>
      <c r="J32" s="36">
        <v>0</v>
      </c>
      <c r="K32" s="33">
        <f>SUMIFS($J$2:J32,$C$2:C32,C32)</f>
        <v>0</v>
      </c>
    </row>
    <row r="33" spans="1:11" ht="50.1" hidden="1" customHeight="1">
      <c r="A33" s="17">
        <f t="shared" si="0"/>
        <v>3</v>
      </c>
      <c r="B33" s="14" t="s">
        <v>10</v>
      </c>
      <c r="C33" s="1" t="s">
        <v>21</v>
      </c>
      <c r="D33" s="1" t="s">
        <v>22</v>
      </c>
      <c r="E33" t="s">
        <v>23</v>
      </c>
      <c r="F33" t="s">
        <v>24</v>
      </c>
      <c r="G33" s="3" t="s">
        <v>176</v>
      </c>
      <c r="H33" s="2">
        <v>46235</v>
      </c>
      <c r="I33" s="36">
        <v>0.3</v>
      </c>
      <c r="J33" s="36">
        <v>0</v>
      </c>
      <c r="K33" s="33">
        <f>SUMIFS($J$2:J33,$C$2:C33,C33)</f>
        <v>0</v>
      </c>
    </row>
    <row r="34" spans="1:11" ht="50.1" hidden="1" customHeight="1">
      <c r="A34" s="17">
        <f t="shared" si="0"/>
        <v>3</v>
      </c>
      <c r="B34" s="14" t="s">
        <v>10</v>
      </c>
      <c r="C34" s="1" t="s">
        <v>21</v>
      </c>
      <c r="D34" s="1" t="s">
        <v>22</v>
      </c>
      <c r="E34" t="s">
        <v>23</v>
      </c>
      <c r="F34" t="s">
        <v>24</v>
      </c>
      <c r="G34" s="3" t="s">
        <v>176</v>
      </c>
      <c r="H34" s="2">
        <v>46266</v>
      </c>
      <c r="I34" s="36"/>
      <c r="J34" s="36">
        <v>0</v>
      </c>
      <c r="K34" s="33">
        <f>SUMIFS($J$2:J34,$C$2:C34,C34)</f>
        <v>0</v>
      </c>
    </row>
    <row r="35" spans="1:11" ht="50.1" hidden="1" customHeight="1">
      <c r="A35" s="17">
        <f t="shared" si="0"/>
        <v>3</v>
      </c>
      <c r="B35" s="14" t="s">
        <v>10</v>
      </c>
      <c r="C35" s="1" t="s">
        <v>21</v>
      </c>
      <c r="D35" s="1" t="s">
        <v>22</v>
      </c>
      <c r="E35" t="s">
        <v>23</v>
      </c>
      <c r="F35" t="s">
        <v>24</v>
      </c>
      <c r="G35" s="3" t="s">
        <v>176</v>
      </c>
      <c r="H35" s="2">
        <v>46296</v>
      </c>
      <c r="I35" s="36"/>
      <c r="J35" s="36">
        <v>0</v>
      </c>
      <c r="K35" s="33">
        <f>SUMIFS($J$2:J35,$C$2:C35,C35)</f>
        <v>0</v>
      </c>
    </row>
    <row r="36" spans="1:11" ht="50.1" hidden="1" customHeight="1">
      <c r="A36" s="17">
        <f t="shared" si="0"/>
        <v>3</v>
      </c>
      <c r="B36" s="14" t="s">
        <v>10</v>
      </c>
      <c r="C36" s="1" t="s">
        <v>21</v>
      </c>
      <c r="D36" s="1" t="s">
        <v>22</v>
      </c>
      <c r="E36" t="s">
        <v>23</v>
      </c>
      <c r="F36" t="s">
        <v>24</v>
      </c>
      <c r="G36" s="3" t="s">
        <v>176</v>
      </c>
      <c r="H36" s="2">
        <v>46327</v>
      </c>
      <c r="I36" s="36"/>
      <c r="J36" s="36">
        <v>0</v>
      </c>
      <c r="K36" s="33">
        <f>SUMIFS($J$2:J36,$C$2:C36,C36)</f>
        <v>0</v>
      </c>
    </row>
    <row r="37" spans="1:11" ht="50.1" hidden="1" customHeight="1">
      <c r="A37" s="17">
        <f t="shared" si="0"/>
        <v>3</v>
      </c>
      <c r="B37" s="14" t="s">
        <v>10</v>
      </c>
      <c r="C37" s="1" t="s">
        <v>21</v>
      </c>
      <c r="D37" s="1" t="s">
        <v>22</v>
      </c>
      <c r="E37" t="s">
        <v>23</v>
      </c>
      <c r="F37" t="s">
        <v>24</v>
      </c>
      <c r="G37" s="3" t="s">
        <v>176</v>
      </c>
      <c r="H37" s="2">
        <v>46357</v>
      </c>
      <c r="I37" s="36">
        <v>0.4</v>
      </c>
      <c r="J37" s="36">
        <v>0</v>
      </c>
      <c r="K37" s="33">
        <f>SUMIFS($J$2:J37,$C$2:C37,C37)</f>
        <v>0</v>
      </c>
    </row>
    <row r="38" spans="1:11" ht="50.1" hidden="1" customHeight="1">
      <c r="A38" s="17">
        <f t="shared" si="0"/>
        <v>4</v>
      </c>
      <c r="B38" s="14" t="s">
        <v>10</v>
      </c>
      <c r="C38" s="1" t="s">
        <v>25</v>
      </c>
      <c r="D38" s="1" t="s">
        <v>26</v>
      </c>
      <c r="E38" t="s">
        <v>15</v>
      </c>
      <c r="F38" t="s">
        <v>27</v>
      </c>
      <c r="G38" s="3" t="s">
        <v>176</v>
      </c>
      <c r="H38" s="2">
        <v>46023</v>
      </c>
      <c r="I38" s="36"/>
      <c r="J38" s="36">
        <v>0</v>
      </c>
      <c r="K38" s="33">
        <f>SUMIFS($J$2:J38,$C$2:C38,C38)</f>
        <v>0</v>
      </c>
    </row>
    <row r="39" spans="1:11" ht="50.1" hidden="1" customHeight="1">
      <c r="A39" s="17">
        <f t="shared" si="0"/>
        <v>4</v>
      </c>
      <c r="B39" s="14" t="s">
        <v>10</v>
      </c>
      <c r="C39" s="1" t="s">
        <v>25</v>
      </c>
      <c r="D39" s="1" t="s">
        <v>26</v>
      </c>
      <c r="E39" t="s">
        <v>15</v>
      </c>
      <c r="F39" t="s">
        <v>27</v>
      </c>
      <c r="G39" s="3" t="s">
        <v>176</v>
      </c>
      <c r="H39" s="2">
        <v>46054</v>
      </c>
      <c r="I39" s="36"/>
      <c r="J39" s="36">
        <v>0</v>
      </c>
      <c r="K39" s="33">
        <f>SUMIFS($J$2:J39,$C$2:C39,C39)</f>
        <v>0</v>
      </c>
    </row>
    <row r="40" spans="1:11" ht="50.1" hidden="1" customHeight="1">
      <c r="A40" s="17">
        <f t="shared" si="0"/>
        <v>4</v>
      </c>
      <c r="B40" s="14" t="s">
        <v>10</v>
      </c>
      <c r="C40" s="1" t="s">
        <v>25</v>
      </c>
      <c r="D40" s="1" t="s">
        <v>26</v>
      </c>
      <c r="E40" t="s">
        <v>15</v>
      </c>
      <c r="F40" t="s">
        <v>27</v>
      </c>
      <c r="G40" s="3" t="s">
        <v>176</v>
      </c>
      <c r="H40" s="2">
        <v>46082</v>
      </c>
      <c r="I40" s="36"/>
      <c r="J40" s="36">
        <v>0</v>
      </c>
      <c r="K40" s="33">
        <f>SUMIFS($J$2:J40,$C$2:C40,C40)</f>
        <v>0</v>
      </c>
    </row>
    <row r="41" spans="1:11" ht="50.1" hidden="1" customHeight="1">
      <c r="A41" s="17">
        <f t="shared" si="0"/>
        <v>4</v>
      </c>
      <c r="B41" s="14" t="s">
        <v>10</v>
      </c>
      <c r="C41" s="1" t="s">
        <v>25</v>
      </c>
      <c r="D41" s="1" t="s">
        <v>26</v>
      </c>
      <c r="E41" t="s">
        <v>15</v>
      </c>
      <c r="F41" t="s">
        <v>27</v>
      </c>
      <c r="G41" s="3" t="s">
        <v>176</v>
      </c>
      <c r="H41" s="2">
        <v>46113</v>
      </c>
      <c r="I41" s="36">
        <v>0.15</v>
      </c>
      <c r="J41" s="36">
        <v>0.15</v>
      </c>
      <c r="K41" s="33">
        <f>SUMIFS($J$2:J41,$C$2:C41,C41)</f>
        <v>0.15</v>
      </c>
    </row>
    <row r="42" spans="1:11" ht="50.1" hidden="1" customHeight="1">
      <c r="A42" s="17">
        <f t="shared" si="0"/>
        <v>4</v>
      </c>
      <c r="B42" s="14" t="s">
        <v>10</v>
      </c>
      <c r="C42" s="1" t="s">
        <v>25</v>
      </c>
      <c r="D42" s="1" t="s">
        <v>26</v>
      </c>
      <c r="E42" t="s">
        <v>15</v>
      </c>
      <c r="F42" t="s">
        <v>27</v>
      </c>
      <c r="G42" s="3" t="s">
        <v>176</v>
      </c>
      <c r="H42" s="2">
        <v>46143</v>
      </c>
      <c r="I42" s="36">
        <v>0.15</v>
      </c>
      <c r="J42" s="36">
        <v>0</v>
      </c>
      <c r="K42" s="33">
        <f>SUMIFS($J$2:J42,$C$2:C42,C42)</f>
        <v>0.15</v>
      </c>
    </row>
    <row r="43" spans="1:11" ht="50.1" hidden="1" customHeight="1">
      <c r="A43" s="17">
        <f t="shared" si="0"/>
        <v>4</v>
      </c>
      <c r="B43" s="14" t="s">
        <v>10</v>
      </c>
      <c r="C43" s="1" t="s">
        <v>25</v>
      </c>
      <c r="D43" s="1" t="s">
        <v>26</v>
      </c>
      <c r="E43" t="s">
        <v>15</v>
      </c>
      <c r="F43" t="s">
        <v>27</v>
      </c>
      <c r="G43" s="3" t="s">
        <v>176</v>
      </c>
      <c r="H43" s="2">
        <v>46174</v>
      </c>
      <c r="I43" s="36">
        <v>0.3</v>
      </c>
      <c r="J43" s="36">
        <v>0</v>
      </c>
      <c r="K43" s="33">
        <f>SUMIFS($J$2:J43,$C$2:C43,C43)</f>
        <v>0.15</v>
      </c>
    </row>
    <row r="44" spans="1:11" ht="50.1" hidden="1" customHeight="1">
      <c r="A44" s="17">
        <f t="shared" si="0"/>
        <v>4</v>
      </c>
      <c r="B44" s="14" t="s">
        <v>10</v>
      </c>
      <c r="C44" s="1" t="s">
        <v>25</v>
      </c>
      <c r="D44" s="1" t="s">
        <v>26</v>
      </c>
      <c r="E44" t="s">
        <v>15</v>
      </c>
      <c r="F44" t="s">
        <v>27</v>
      </c>
      <c r="G44" s="3" t="s">
        <v>176</v>
      </c>
      <c r="H44" s="2">
        <v>46204</v>
      </c>
      <c r="I44" s="36"/>
      <c r="J44" s="36">
        <v>0</v>
      </c>
      <c r="K44" s="33">
        <f>SUMIFS($J$2:J44,$C$2:C44,C44)</f>
        <v>0.15</v>
      </c>
    </row>
    <row r="45" spans="1:11" ht="50.1" hidden="1" customHeight="1">
      <c r="A45" s="17">
        <f t="shared" si="0"/>
        <v>4</v>
      </c>
      <c r="B45" s="14" t="s">
        <v>10</v>
      </c>
      <c r="C45" s="1" t="s">
        <v>25</v>
      </c>
      <c r="D45" s="1" t="s">
        <v>26</v>
      </c>
      <c r="E45" t="s">
        <v>15</v>
      </c>
      <c r="F45" t="s">
        <v>27</v>
      </c>
      <c r="G45" s="3" t="s">
        <v>176</v>
      </c>
      <c r="H45" s="2">
        <v>46235</v>
      </c>
      <c r="I45" s="36"/>
      <c r="J45" s="36">
        <v>0</v>
      </c>
      <c r="K45" s="33">
        <f>SUMIFS($J$2:J45,$C$2:C45,C45)</f>
        <v>0.15</v>
      </c>
    </row>
    <row r="46" spans="1:11" ht="50.1" hidden="1" customHeight="1">
      <c r="A46" s="17">
        <f t="shared" si="0"/>
        <v>4</v>
      </c>
      <c r="B46" s="14" t="s">
        <v>10</v>
      </c>
      <c r="C46" s="1" t="s">
        <v>25</v>
      </c>
      <c r="D46" s="1" t="s">
        <v>26</v>
      </c>
      <c r="E46" t="s">
        <v>15</v>
      </c>
      <c r="F46" t="s">
        <v>27</v>
      </c>
      <c r="G46" s="3" t="s">
        <v>176</v>
      </c>
      <c r="H46" s="2">
        <v>46266</v>
      </c>
      <c r="I46" s="36"/>
      <c r="J46" s="36">
        <v>0</v>
      </c>
      <c r="K46" s="33">
        <f>SUMIFS($J$2:J46,$C$2:C46,C46)</f>
        <v>0.15</v>
      </c>
    </row>
    <row r="47" spans="1:11" ht="50.1" hidden="1" customHeight="1">
      <c r="A47" s="17">
        <f t="shared" si="0"/>
        <v>4</v>
      </c>
      <c r="B47" s="14" t="s">
        <v>10</v>
      </c>
      <c r="C47" s="1" t="s">
        <v>25</v>
      </c>
      <c r="D47" s="1" t="s">
        <v>26</v>
      </c>
      <c r="E47" t="s">
        <v>15</v>
      </c>
      <c r="F47" t="s">
        <v>27</v>
      </c>
      <c r="G47" s="3" t="s">
        <v>176</v>
      </c>
      <c r="H47" s="2">
        <v>46296</v>
      </c>
      <c r="I47" s="36"/>
      <c r="J47" s="36">
        <v>0</v>
      </c>
      <c r="K47" s="33">
        <f>SUMIFS($J$2:J47,$C$2:C47,C47)</f>
        <v>0.15</v>
      </c>
    </row>
    <row r="48" spans="1:11" ht="50.1" hidden="1" customHeight="1">
      <c r="A48" s="17">
        <f t="shared" si="0"/>
        <v>4</v>
      </c>
      <c r="B48" s="14" t="s">
        <v>10</v>
      </c>
      <c r="C48" s="1" t="s">
        <v>25</v>
      </c>
      <c r="D48" s="1" t="s">
        <v>26</v>
      </c>
      <c r="E48" t="s">
        <v>15</v>
      </c>
      <c r="F48" t="s">
        <v>27</v>
      </c>
      <c r="G48" s="3" t="s">
        <v>176</v>
      </c>
      <c r="H48" s="2">
        <v>46327</v>
      </c>
      <c r="I48" s="36"/>
      <c r="J48" s="36">
        <v>0</v>
      </c>
      <c r="K48" s="33">
        <f>SUMIFS($J$2:J48,$C$2:C48,C48)</f>
        <v>0.15</v>
      </c>
    </row>
    <row r="49" spans="1:11" ht="50.1" hidden="1" customHeight="1">
      <c r="A49" s="17">
        <f t="shared" si="0"/>
        <v>4</v>
      </c>
      <c r="B49" s="14" t="s">
        <v>10</v>
      </c>
      <c r="C49" s="1" t="s">
        <v>25</v>
      </c>
      <c r="D49" s="1" t="s">
        <v>26</v>
      </c>
      <c r="E49" t="s">
        <v>15</v>
      </c>
      <c r="F49" t="s">
        <v>27</v>
      </c>
      <c r="G49" s="3" t="s">
        <v>176</v>
      </c>
      <c r="H49" s="2">
        <v>46357</v>
      </c>
      <c r="I49" s="36">
        <v>0.4</v>
      </c>
      <c r="J49" s="36">
        <v>0</v>
      </c>
      <c r="K49" s="33">
        <f>SUMIFS($J$2:J49,$C$2:C49,C49)</f>
        <v>0.15</v>
      </c>
    </row>
    <row r="50" spans="1:11" ht="50.1" hidden="1" customHeight="1">
      <c r="A50" s="17">
        <f t="shared" si="0"/>
        <v>5</v>
      </c>
      <c r="B50" s="14" t="s">
        <v>10</v>
      </c>
      <c r="C50" s="1" t="s">
        <v>28</v>
      </c>
      <c r="D50" s="1" t="s">
        <v>29</v>
      </c>
      <c r="E50" t="s">
        <v>15</v>
      </c>
      <c r="F50" t="s">
        <v>27</v>
      </c>
      <c r="G50" s="3" t="s">
        <v>176</v>
      </c>
      <c r="H50" s="2">
        <v>46023</v>
      </c>
      <c r="I50" s="36"/>
      <c r="J50" s="36">
        <v>0</v>
      </c>
      <c r="K50" s="33">
        <f>SUMIFS($J$2:J50,$C$2:C50,C50)</f>
        <v>0</v>
      </c>
    </row>
    <row r="51" spans="1:11" ht="50.1" hidden="1" customHeight="1">
      <c r="A51" s="17">
        <f t="shared" si="0"/>
        <v>5</v>
      </c>
      <c r="B51" s="14" t="s">
        <v>10</v>
      </c>
      <c r="C51" s="1" t="s">
        <v>28</v>
      </c>
      <c r="D51" s="1" t="s">
        <v>29</v>
      </c>
      <c r="E51" t="s">
        <v>15</v>
      </c>
      <c r="F51" t="s">
        <v>27</v>
      </c>
      <c r="G51" s="3" t="s">
        <v>176</v>
      </c>
      <c r="H51" s="2">
        <v>46054</v>
      </c>
      <c r="I51" s="36"/>
      <c r="J51" s="36">
        <v>0</v>
      </c>
      <c r="K51" s="33">
        <f>SUMIFS($J$2:J51,$C$2:C51,C51)</f>
        <v>0</v>
      </c>
    </row>
    <row r="52" spans="1:11" ht="50.1" hidden="1" customHeight="1">
      <c r="A52" s="17">
        <f t="shared" si="0"/>
        <v>5</v>
      </c>
      <c r="B52" s="14" t="s">
        <v>10</v>
      </c>
      <c r="C52" s="1" t="s">
        <v>28</v>
      </c>
      <c r="D52" s="1" t="s">
        <v>29</v>
      </c>
      <c r="E52" t="s">
        <v>15</v>
      </c>
      <c r="F52" t="s">
        <v>27</v>
      </c>
      <c r="G52" s="3" t="s">
        <v>176</v>
      </c>
      <c r="H52" s="2">
        <v>46082</v>
      </c>
      <c r="I52" s="36"/>
      <c r="J52" s="36">
        <v>0</v>
      </c>
      <c r="K52" s="33">
        <f>SUMIFS($J$2:J52,$C$2:C52,C52)</f>
        <v>0</v>
      </c>
    </row>
    <row r="53" spans="1:11" ht="50.1" hidden="1" customHeight="1">
      <c r="A53" s="17">
        <f t="shared" si="0"/>
        <v>5</v>
      </c>
      <c r="B53" s="14" t="s">
        <v>10</v>
      </c>
      <c r="C53" s="1" t="s">
        <v>28</v>
      </c>
      <c r="D53" s="1" t="s">
        <v>29</v>
      </c>
      <c r="E53" t="s">
        <v>15</v>
      </c>
      <c r="F53" t="s">
        <v>27</v>
      </c>
      <c r="G53" s="3" t="s">
        <v>176</v>
      </c>
      <c r="H53" s="2">
        <v>46113</v>
      </c>
      <c r="I53" s="36">
        <v>0.15</v>
      </c>
      <c r="J53" s="36">
        <v>0.15</v>
      </c>
      <c r="K53" s="33">
        <f>SUMIFS($J$2:J53,$C$2:C53,C53)</f>
        <v>0.15</v>
      </c>
    </row>
    <row r="54" spans="1:11" ht="50.1" hidden="1" customHeight="1">
      <c r="A54" s="17">
        <f t="shared" si="0"/>
        <v>5</v>
      </c>
      <c r="B54" s="14" t="s">
        <v>10</v>
      </c>
      <c r="C54" s="1" t="s">
        <v>28</v>
      </c>
      <c r="D54" s="1" t="s">
        <v>29</v>
      </c>
      <c r="E54" t="s">
        <v>15</v>
      </c>
      <c r="F54" t="s">
        <v>27</v>
      </c>
      <c r="G54" s="3" t="s">
        <v>176</v>
      </c>
      <c r="H54" s="2">
        <v>46143</v>
      </c>
      <c r="I54" s="36">
        <v>0.15</v>
      </c>
      <c r="J54" s="36">
        <v>0</v>
      </c>
      <c r="K54" s="33">
        <f>SUMIFS($J$2:J54,$C$2:C54,C54)</f>
        <v>0.15</v>
      </c>
    </row>
    <row r="55" spans="1:11" ht="50.1" hidden="1" customHeight="1">
      <c r="A55" s="17">
        <f t="shared" si="0"/>
        <v>5</v>
      </c>
      <c r="B55" s="14" t="s">
        <v>10</v>
      </c>
      <c r="C55" s="1" t="s">
        <v>28</v>
      </c>
      <c r="D55" s="1" t="s">
        <v>29</v>
      </c>
      <c r="E55" t="s">
        <v>15</v>
      </c>
      <c r="F55" t="s">
        <v>27</v>
      </c>
      <c r="G55" s="3" t="s">
        <v>176</v>
      </c>
      <c r="H55" s="2">
        <v>46174</v>
      </c>
      <c r="I55" s="36">
        <v>0.3</v>
      </c>
      <c r="J55" s="36">
        <v>0</v>
      </c>
      <c r="K55" s="33">
        <f>SUMIFS($J$2:J55,$C$2:C55,C55)</f>
        <v>0.15</v>
      </c>
    </row>
    <row r="56" spans="1:11" ht="50.1" hidden="1" customHeight="1">
      <c r="A56" s="17">
        <f t="shared" si="0"/>
        <v>5</v>
      </c>
      <c r="B56" s="14" t="s">
        <v>10</v>
      </c>
      <c r="C56" s="1" t="s">
        <v>28</v>
      </c>
      <c r="D56" s="1" t="s">
        <v>29</v>
      </c>
      <c r="E56" t="s">
        <v>15</v>
      </c>
      <c r="F56" t="s">
        <v>27</v>
      </c>
      <c r="G56" s="3" t="s">
        <v>176</v>
      </c>
      <c r="H56" s="2">
        <v>46204</v>
      </c>
      <c r="I56" s="36"/>
      <c r="J56" s="36">
        <v>0</v>
      </c>
      <c r="K56" s="33">
        <f>SUMIFS($J$2:J56,$C$2:C56,C56)</f>
        <v>0.15</v>
      </c>
    </row>
    <row r="57" spans="1:11" ht="50.1" hidden="1" customHeight="1">
      <c r="A57" s="17">
        <f t="shared" si="0"/>
        <v>5</v>
      </c>
      <c r="B57" s="14" t="s">
        <v>10</v>
      </c>
      <c r="C57" s="1" t="s">
        <v>28</v>
      </c>
      <c r="D57" s="1" t="s">
        <v>29</v>
      </c>
      <c r="E57" t="s">
        <v>15</v>
      </c>
      <c r="F57" t="s">
        <v>27</v>
      </c>
      <c r="G57" s="3" t="s">
        <v>176</v>
      </c>
      <c r="H57" s="2">
        <v>46235</v>
      </c>
      <c r="I57" s="36"/>
      <c r="J57" s="36">
        <v>0</v>
      </c>
      <c r="K57" s="33">
        <f>SUMIFS($J$2:J57,$C$2:C57,C57)</f>
        <v>0.15</v>
      </c>
    </row>
    <row r="58" spans="1:11" ht="50.1" hidden="1" customHeight="1">
      <c r="A58" s="17">
        <f t="shared" si="0"/>
        <v>5</v>
      </c>
      <c r="B58" s="14" t="s">
        <v>10</v>
      </c>
      <c r="C58" s="1" t="s">
        <v>28</v>
      </c>
      <c r="D58" s="1" t="s">
        <v>29</v>
      </c>
      <c r="E58" t="s">
        <v>15</v>
      </c>
      <c r="F58" t="s">
        <v>27</v>
      </c>
      <c r="G58" s="3" t="s">
        <v>176</v>
      </c>
      <c r="H58" s="2">
        <v>46266</v>
      </c>
      <c r="I58" s="36"/>
      <c r="J58" s="36">
        <v>0</v>
      </c>
      <c r="K58" s="33">
        <f>SUMIFS($J$2:J58,$C$2:C58,C58)</f>
        <v>0.15</v>
      </c>
    </row>
    <row r="59" spans="1:11" ht="50.1" hidden="1" customHeight="1">
      <c r="A59" s="17">
        <f t="shared" si="0"/>
        <v>5</v>
      </c>
      <c r="B59" s="14" t="s">
        <v>10</v>
      </c>
      <c r="C59" s="1" t="s">
        <v>28</v>
      </c>
      <c r="D59" s="1" t="s">
        <v>29</v>
      </c>
      <c r="E59" t="s">
        <v>15</v>
      </c>
      <c r="F59" t="s">
        <v>27</v>
      </c>
      <c r="G59" s="3" t="s">
        <v>176</v>
      </c>
      <c r="H59" s="2">
        <v>46296</v>
      </c>
      <c r="I59" s="36"/>
      <c r="J59" s="36">
        <v>0</v>
      </c>
      <c r="K59" s="33">
        <f>SUMIFS($J$2:J59,$C$2:C59,C59)</f>
        <v>0.15</v>
      </c>
    </row>
    <row r="60" spans="1:11" ht="50.1" hidden="1" customHeight="1">
      <c r="A60" s="17">
        <f t="shared" si="0"/>
        <v>5</v>
      </c>
      <c r="B60" s="14" t="s">
        <v>10</v>
      </c>
      <c r="C60" s="1" t="s">
        <v>28</v>
      </c>
      <c r="D60" s="1" t="s">
        <v>29</v>
      </c>
      <c r="E60" t="s">
        <v>15</v>
      </c>
      <c r="F60" t="s">
        <v>27</v>
      </c>
      <c r="G60" s="3" t="s">
        <v>176</v>
      </c>
      <c r="H60" s="2">
        <v>46327</v>
      </c>
      <c r="I60" s="36"/>
      <c r="J60" s="36">
        <v>0</v>
      </c>
      <c r="K60" s="33">
        <f>SUMIFS($J$2:J60,$C$2:C60,C60)</f>
        <v>0.15</v>
      </c>
    </row>
    <row r="61" spans="1:11" ht="50.1" hidden="1" customHeight="1">
      <c r="A61" s="17">
        <f t="shared" si="0"/>
        <v>5</v>
      </c>
      <c r="B61" s="14" t="s">
        <v>10</v>
      </c>
      <c r="C61" s="1" t="s">
        <v>28</v>
      </c>
      <c r="D61" s="1" t="s">
        <v>29</v>
      </c>
      <c r="E61" t="s">
        <v>15</v>
      </c>
      <c r="F61" t="s">
        <v>27</v>
      </c>
      <c r="G61" s="3" t="s">
        <v>176</v>
      </c>
      <c r="H61" s="2">
        <v>46357</v>
      </c>
      <c r="I61" s="36">
        <v>0.4</v>
      </c>
      <c r="J61" s="36">
        <v>0</v>
      </c>
      <c r="K61" s="33">
        <f>SUMIFS($J$2:J61,$C$2:C61,C61)</f>
        <v>0.15</v>
      </c>
    </row>
    <row r="62" spans="1:11" ht="50.1" hidden="1" customHeight="1">
      <c r="A62" s="17">
        <f t="shared" si="0"/>
        <v>6</v>
      </c>
      <c r="B62" s="14" t="s">
        <v>10</v>
      </c>
      <c r="C62" s="1" t="s">
        <v>30</v>
      </c>
      <c r="D62" s="1" t="s">
        <v>31</v>
      </c>
      <c r="E62" t="s">
        <v>32</v>
      </c>
      <c r="F62" t="s">
        <v>33</v>
      </c>
      <c r="G62" s="3" t="s">
        <v>176</v>
      </c>
      <c r="H62" s="2">
        <v>46023</v>
      </c>
      <c r="I62" s="36"/>
      <c r="J62" s="36">
        <v>0</v>
      </c>
      <c r="K62" s="33">
        <f>SUMIFS($J$2:J62,$C$2:C62,C62)</f>
        <v>0</v>
      </c>
    </row>
    <row r="63" spans="1:11" ht="50.1" hidden="1" customHeight="1">
      <c r="A63" s="17">
        <f t="shared" si="0"/>
        <v>6</v>
      </c>
      <c r="B63" s="14" t="s">
        <v>10</v>
      </c>
      <c r="C63" s="1" t="s">
        <v>30</v>
      </c>
      <c r="D63" s="1" t="s">
        <v>31</v>
      </c>
      <c r="E63" t="s">
        <v>32</v>
      </c>
      <c r="F63" t="s">
        <v>33</v>
      </c>
      <c r="G63" s="3" t="s">
        <v>176</v>
      </c>
      <c r="H63" s="2">
        <v>46054</v>
      </c>
      <c r="I63" s="36"/>
      <c r="J63" s="36">
        <v>0</v>
      </c>
      <c r="K63" s="33">
        <f>SUMIFS($J$2:J63,$C$2:C63,C63)</f>
        <v>0</v>
      </c>
    </row>
    <row r="64" spans="1:11" ht="50.1" hidden="1" customHeight="1">
      <c r="A64" s="17">
        <f t="shared" si="0"/>
        <v>6</v>
      </c>
      <c r="B64" s="14" t="s">
        <v>10</v>
      </c>
      <c r="C64" s="1" t="s">
        <v>30</v>
      </c>
      <c r="D64" s="1" t="s">
        <v>31</v>
      </c>
      <c r="E64" t="s">
        <v>32</v>
      </c>
      <c r="F64" t="s">
        <v>33</v>
      </c>
      <c r="G64" s="3" t="s">
        <v>176</v>
      </c>
      <c r="H64" s="2">
        <v>46082</v>
      </c>
      <c r="I64" s="36"/>
      <c r="J64" s="36">
        <v>0</v>
      </c>
      <c r="K64" s="33">
        <f>SUMIFS($J$2:J64,$C$2:C64,C64)</f>
        <v>0</v>
      </c>
    </row>
    <row r="65" spans="1:11" ht="50.1" hidden="1" customHeight="1">
      <c r="A65" s="17">
        <f t="shared" si="0"/>
        <v>6</v>
      </c>
      <c r="B65" s="14" t="s">
        <v>10</v>
      </c>
      <c r="C65" s="1" t="s">
        <v>30</v>
      </c>
      <c r="D65" s="1" t="s">
        <v>31</v>
      </c>
      <c r="E65" t="s">
        <v>32</v>
      </c>
      <c r="F65" t="s">
        <v>33</v>
      </c>
      <c r="G65" s="3" t="s">
        <v>176</v>
      </c>
      <c r="H65" s="2">
        <v>46113</v>
      </c>
      <c r="I65" s="36"/>
      <c r="J65" s="36">
        <v>0</v>
      </c>
      <c r="K65" s="33">
        <f>SUMIFS($J$2:J65,$C$2:C65,C65)</f>
        <v>0</v>
      </c>
    </row>
    <row r="66" spans="1:11" ht="50.1" hidden="1" customHeight="1">
      <c r="A66" s="17">
        <f t="shared" si="0"/>
        <v>6</v>
      </c>
      <c r="B66" s="14" t="s">
        <v>10</v>
      </c>
      <c r="C66" s="1" t="s">
        <v>30</v>
      </c>
      <c r="D66" s="1" t="s">
        <v>31</v>
      </c>
      <c r="E66" t="s">
        <v>32</v>
      </c>
      <c r="F66" t="s">
        <v>33</v>
      </c>
      <c r="G66" s="3" t="s">
        <v>176</v>
      </c>
      <c r="H66" s="2">
        <v>46143</v>
      </c>
      <c r="I66" s="36">
        <v>0.8</v>
      </c>
      <c r="J66" s="36">
        <v>0</v>
      </c>
      <c r="K66" s="33">
        <f>SUMIFS($J$2:J66,$C$2:C66,C66)</f>
        <v>0</v>
      </c>
    </row>
    <row r="67" spans="1:11" ht="50.1" hidden="1" customHeight="1">
      <c r="A67" s="17">
        <f t="shared" ref="A67:A130" si="1">INT((ROW(A67)-2)/12)+1</f>
        <v>6</v>
      </c>
      <c r="B67" s="14" t="s">
        <v>10</v>
      </c>
      <c r="C67" s="1" t="s">
        <v>30</v>
      </c>
      <c r="D67" s="1" t="s">
        <v>31</v>
      </c>
      <c r="E67" t="s">
        <v>32</v>
      </c>
      <c r="F67" t="s">
        <v>33</v>
      </c>
      <c r="G67" s="3" t="s">
        <v>176</v>
      </c>
      <c r="H67" s="2">
        <v>46174</v>
      </c>
      <c r="I67" s="36"/>
      <c r="J67" s="36">
        <v>0</v>
      </c>
      <c r="K67" s="33">
        <f>SUMIFS($J$2:J67,$C$2:C67,C67)</f>
        <v>0</v>
      </c>
    </row>
    <row r="68" spans="1:11" ht="50.1" hidden="1" customHeight="1">
      <c r="A68" s="17">
        <f t="shared" si="1"/>
        <v>6</v>
      </c>
      <c r="B68" s="14" t="s">
        <v>10</v>
      </c>
      <c r="C68" s="1" t="s">
        <v>30</v>
      </c>
      <c r="D68" s="1" t="s">
        <v>31</v>
      </c>
      <c r="E68" t="s">
        <v>32</v>
      </c>
      <c r="F68" t="s">
        <v>33</v>
      </c>
      <c r="G68" s="3" t="s">
        <v>176</v>
      </c>
      <c r="H68" s="2">
        <v>46204</v>
      </c>
      <c r="I68" s="36">
        <v>0.2</v>
      </c>
      <c r="J68" s="36">
        <v>0</v>
      </c>
      <c r="K68" s="33">
        <f>SUMIFS($J$2:J68,$C$2:C68,C68)</f>
        <v>0</v>
      </c>
    </row>
    <row r="69" spans="1:11" ht="50.1" hidden="1" customHeight="1">
      <c r="A69" s="17">
        <f t="shared" si="1"/>
        <v>6</v>
      </c>
      <c r="B69" s="14" t="s">
        <v>10</v>
      </c>
      <c r="C69" s="1" t="s">
        <v>30</v>
      </c>
      <c r="D69" s="1" t="s">
        <v>31</v>
      </c>
      <c r="E69" t="s">
        <v>32</v>
      </c>
      <c r="F69" t="s">
        <v>33</v>
      </c>
      <c r="G69" s="3" t="s">
        <v>176</v>
      </c>
      <c r="H69" s="2">
        <v>46235</v>
      </c>
      <c r="I69" s="36"/>
      <c r="J69" s="36">
        <v>0</v>
      </c>
      <c r="K69" s="33">
        <f>SUMIFS($J$2:J69,$C$2:C69,C69)</f>
        <v>0</v>
      </c>
    </row>
    <row r="70" spans="1:11" ht="50.1" hidden="1" customHeight="1">
      <c r="A70" s="17">
        <f t="shared" si="1"/>
        <v>6</v>
      </c>
      <c r="B70" s="14" t="s">
        <v>10</v>
      </c>
      <c r="C70" s="1" t="s">
        <v>30</v>
      </c>
      <c r="D70" s="1" t="s">
        <v>31</v>
      </c>
      <c r="E70" t="s">
        <v>32</v>
      </c>
      <c r="F70" t="s">
        <v>33</v>
      </c>
      <c r="G70" s="3" t="s">
        <v>176</v>
      </c>
      <c r="H70" s="2">
        <v>46266</v>
      </c>
      <c r="I70" s="36"/>
      <c r="J70" s="36">
        <v>0</v>
      </c>
      <c r="K70" s="33">
        <f>SUMIFS($J$2:J70,$C$2:C70,C70)</f>
        <v>0</v>
      </c>
    </row>
    <row r="71" spans="1:11" ht="50.1" hidden="1" customHeight="1">
      <c r="A71" s="17">
        <f t="shared" si="1"/>
        <v>6</v>
      </c>
      <c r="B71" s="14" t="s">
        <v>10</v>
      </c>
      <c r="C71" s="1" t="s">
        <v>30</v>
      </c>
      <c r="D71" s="1" t="s">
        <v>31</v>
      </c>
      <c r="E71" t="s">
        <v>32</v>
      </c>
      <c r="F71" t="s">
        <v>33</v>
      </c>
      <c r="G71" s="3" t="s">
        <v>176</v>
      </c>
      <c r="H71" s="2">
        <v>46296</v>
      </c>
      <c r="I71" s="36"/>
      <c r="J71" s="36">
        <v>0</v>
      </c>
      <c r="K71" s="33">
        <f>SUMIFS($J$2:J71,$C$2:C71,C71)</f>
        <v>0</v>
      </c>
    </row>
    <row r="72" spans="1:11" ht="50.1" hidden="1" customHeight="1">
      <c r="A72" s="17">
        <f t="shared" si="1"/>
        <v>6</v>
      </c>
      <c r="B72" s="14" t="s">
        <v>10</v>
      </c>
      <c r="C72" s="1" t="s">
        <v>30</v>
      </c>
      <c r="D72" s="1" t="s">
        <v>31</v>
      </c>
      <c r="E72" t="s">
        <v>32</v>
      </c>
      <c r="F72" t="s">
        <v>33</v>
      </c>
      <c r="G72" s="3" t="s">
        <v>176</v>
      </c>
      <c r="H72" s="2">
        <v>46327</v>
      </c>
      <c r="I72" s="36"/>
      <c r="J72" s="36">
        <v>0</v>
      </c>
      <c r="K72" s="33">
        <f>SUMIFS($J$2:J72,$C$2:C72,C72)</f>
        <v>0</v>
      </c>
    </row>
    <row r="73" spans="1:11" ht="50.1" hidden="1" customHeight="1">
      <c r="A73" s="17">
        <f t="shared" si="1"/>
        <v>6</v>
      </c>
      <c r="B73" s="14" t="s">
        <v>10</v>
      </c>
      <c r="C73" s="1" t="s">
        <v>30</v>
      </c>
      <c r="D73" s="1" t="s">
        <v>31</v>
      </c>
      <c r="E73" t="s">
        <v>32</v>
      </c>
      <c r="F73" t="s">
        <v>33</v>
      </c>
      <c r="G73" s="3" t="s">
        <v>176</v>
      </c>
      <c r="H73" s="2">
        <v>46357</v>
      </c>
      <c r="I73" s="36"/>
      <c r="J73" s="36">
        <v>0</v>
      </c>
      <c r="K73" s="33">
        <f>SUMIFS($J$2:J73,$C$2:C73,C73)</f>
        <v>0</v>
      </c>
    </row>
    <row r="74" spans="1:11" ht="50.1" hidden="1" customHeight="1">
      <c r="A74" s="17">
        <f t="shared" si="1"/>
        <v>7</v>
      </c>
      <c r="B74" s="14" t="s">
        <v>10</v>
      </c>
      <c r="C74" s="1" t="s">
        <v>34</v>
      </c>
      <c r="D74" s="1" t="s">
        <v>35</v>
      </c>
      <c r="E74" t="s">
        <v>36</v>
      </c>
      <c r="F74" t="s">
        <v>33</v>
      </c>
      <c r="G74" s="3" t="s">
        <v>176</v>
      </c>
      <c r="H74" s="2">
        <v>46023</v>
      </c>
      <c r="I74" s="36"/>
      <c r="J74" s="36">
        <v>0</v>
      </c>
      <c r="K74" s="33">
        <f>SUMIFS($J$2:J74,$C$2:C74,C74)</f>
        <v>0</v>
      </c>
    </row>
    <row r="75" spans="1:11" ht="50.1" hidden="1" customHeight="1">
      <c r="A75" s="17">
        <f t="shared" si="1"/>
        <v>7</v>
      </c>
      <c r="B75" s="14" t="s">
        <v>10</v>
      </c>
      <c r="C75" s="1" t="s">
        <v>34</v>
      </c>
      <c r="D75" s="1" t="s">
        <v>35</v>
      </c>
      <c r="E75" t="s">
        <v>36</v>
      </c>
      <c r="F75" t="s">
        <v>33</v>
      </c>
      <c r="G75" s="3" t="s">
        <v>176</v>
      </c>
      <c r="H75" s="2">
        <v>46054</v>
      </c>
      <c r="I75" s="36"/>
      <c r="J75" s="36">
        <v>0</v>
      </c>
      <c r="K75" s="33">
        <f>SUMIFS($J$2:J75,$C$2:C75,C75)</f>
        <v>0</v>
      </c>
    </row>
    <row r="76" spans="1:11" ht="50.1" hidden="1" customHeight="1">
      <c r="A76" s="17">
        <f t="shared" si="1"/>
        <v>7</v>
      </c>
      <c r="B76" s="14" t="s">
        <v>10</v>
      </c>
      <c r="C76" s="1" t="s">
        <v>34</v>
      </c>
      <c r="D76" s="1" t="s">
        <v>35</v>
      </c>
      <c r="E76" t="s">
        <v>36</v>
      </c>
      <c r="F76" t="s">
        <v>33</v>
      </c>
      <c r="G76" s="3" t="s">
        <v>176</v>
      </c>
      <c r="H76" s="2">
        <v>46082</v>
      </c>
      <c r="I76" s="36"/>
      <c r="J76" s="36">
        <v>0</v>
      </c>
      <c r="K76" s="33">
        <f>SUMIFS($J$2:J76,$C$2:C76,C76)</f>
        <v>0</v>
      </c>
    </row>
    <row r="77" spans="1:11" ht="50.1" hidden="1" customHeight="1">
      <c r="A77" s="17">
        <f t="shared" si="1"/>
        <v>7</v>
      </c>
      <c r="B77" s="14" t="s">
        <v>10</v>
      </c>
      <c r="C77" s="1" t="s">
        <v>34</v>
      </c>
      <c r="D77" s="1" t="s">
        <v>35</v>
      </c>
      <c r="E77" t="s">
        <v>36</v>
      </c>
      <c r="F77" t="s">
        <v>33</v>
      </c>
      <c r="G77" s="3" t="s">
        <v>176</v>
      </c>
      <c r="H77" s="2">
        <v>46113</v>
      </c>
      <c r="I77" s="36">
        <v>0.15</v>
      </c>
      <c r="J77" s="36">
        <v>0.15</v>
      </c>
      <c r="K77" s="33">
        <f>SUMIFS($J$2:J77,$C$2:C77,C77)</f>
        <v>0.15</v>
      </c>
    </row>
    <row r="78" spans="1:11" ht="50.1" hidden="1" customHeight="1">
      <c r="A78" s="17">
        <f t="shared" si="1"/>
        <v>7</v>
      </c>
      <c r="B78" s="14" t="s">
        <v>10</v>
      </c>
      <c r="C78" s="1" t="s">
        <v>34</v>
      </c>
      <c r="D78" s="1" t="s">
        <v>35</v>
      </c>
      <c r="E78" t="s">
        <v>36</v>
      </c>
      <c r="F78" t="s">
        <v>33</v>
      </c>
      <c r="G78" s="3" t="s">
        <v>176</v>
      </c>
      <c r="H78" s="2">
        <v>46143</v>
      </c>
      <c r="I78" s="36">
        <v>0.45</v>
      </c>
      <c r="J78" s="36">
        <v>0</v>
      </c>
      <c r="K78" s="33">
        <f>SUMIFS($J$2:J78,$C$2:C78,C78)</f>
        <v>0.15</v>
      </c>
    </row>
    <row r="79" spans="1:11" ht="50.1" hidden="1" customHeight="1">
      <c r="A79" s="17">
        <f t="shared" si="1"/>
        <v>7</v>
      </c>
      <c r="B79" s="14" t="s">
        <v>10</v>
      </c>
      <c r="C79" s="1" t="s">
        <v>34</v>
      </c>
      <c r="D79" s="1" t="s">
        <v>35</v>
      </c>
      <c r="E79" t="s">
        <v>36</v>
      </c>
      <c r="F79" t="s">
        <v>33</v>
      </c>
      <c r="G79" s="3" t="s">
        <v>176</v>
      </c>
      <c r="H79" s="2">
        <v>46174</v>
      </c>
      <c r="I79" s="36"/>
      <c r="J79" s="36">
        <v>0</v>
      </c>
      <c r="K79" s="33">
        <f>SUMIFS($J$2:J79,$C$2:C79,C79)</f>
        <v>0.15</v>
      </c>
    </row>
    <row r="80" spans="1:11" ht="50.1" hidden="1" customHeight="1">
      <c r="A80" s="17">
        <f t="shared" si="1"/>
        <v>7</v>
      </c>
      <c r="B80" s="14" t="s">
        <v>10</v>
      </c>
      <c r="C80" s="1" t="s">
        <v>34</v>
      </c>
      <c r="D80" s="1" t="s">
        <v>35</v>
      </c>
      <c r="E80" t="s">
        <v>36</v>
      </c>
      <c r="F80" t="s">
        <v>33</v>
      </c>
      <c r="G80" s="3" t="s">
        <v>176</v>
      </c>
      <c r="H80" s="2">
        <v>46204</v>
      </c>
      <c r="I80" s="36"/>
      <c r="J80" s="36">
        <v>0</v>
      </c>
      <c r="K80" s="33">
        <f>SUMIFS($J$2:J80,$C$2:C80,C80)</f>
        <v>0.15</v>
      </c>
    </row>
    <row r="81" spans="1:11" ht="50.1" hidden="1" customHeight="1">
      <c r="A81" s="17">
        <f t="shared" si="1"/>
        <v>7</v>
      </c>
      <c r="B81" s="14" t="s">
        <v>10</v>
      </c>
      <c r="C81" s="1" t="s">
        <v>34</v>
      </c>
      <c r="D81" s="1" t="s">
        <v>35</v>
      </c>
      <c r="E81" t="s">
        <v>36</v>
      </c>
      <c r="F81" t="s">
        <v>33</v>
      </c>
      <c r="G81" s="3" t="s">
        <v>176</v>
      </c>
      <c r="H81" s="2">
        <v>46235</v>
      </c>
      <c r="I81" s="36"/>
      <c r="J81" s="36">
        <v>0</v>
      </c>
      <c r="K81" s="33">
        <f>SUMIFS($J$2:J81,$C$2:C81,C81)</f>
        <v>0.15</v>
      </c>
    </row>
    <row r="82" spans="1:11" ht="50.1" hidden="1" customHeight="1">
      <c r="A82" s="17">
        <f t="shared" si="1"/>
        <v>7</v>
      </c>
      <c r="B82" s="14" t="s">
        <v>10</v>
      </c>
      <c r="C82" s="1" t="s">
        <v>34</v>
      </c>
      <c r="D82" s="1" t="s">
        <v>35</v>
      </c>
      <c r="E82" t="s">
        <v>36</v>
      </c>
      <c r="F82" t="s">
        <v>33</v>
      </c>
      <c r="G82" s="3" t="s">
        <v>176</v>
      </c>
      <c r="H82" s="2">
        <v>46266</v>
      </c>
      <c r="I82" s="36"/>
      <c r="J82" s="36">
        <v>0</v>
      </c>
      <c r="K82" s="33">
        <f>SUMIFS($J$2:J82,$C$2:C82,C82)</f>
        <v>0.15</v>
      </c>
    </row>
    <row r="83" spans="1:11" ht="50.1" hidden="1" customHeight="1">
      <c r="A83" s="17">
        <f t="shared" si="1"/>
        <v>7</v>
      </c>
      <c r="B83" s="14" t="s">
        <v>10</v>
      </c>
      <c r="C83" s="1" t="s">
        <v>34</v>
      </c>
      <c r="D83" s="1" t="s">
        <v>35</v>
      </c>
      <c r="E83" t="s">
        <v>36</v>
      </c>
      <c r="F83" t="s">
        <v>33</v>
      </c>
      <c r="G83" s="3" t="s">
        <v>176</v>
      </c>
      <c r="H83" s="2">
        <v>46296</v>
      </c>
      <c r="I83" s="36"/>
      <c r="J83" s="36">
        <v>0</v>
      </c>
      <c r="K83" s="33">
        <f>SUMIFS($J$2:J83,$C$2:C83,C83)</f>
        <v>0.15</v>
      </c>
    </row>
    <row r="84" spans="1:11" ht="50.1" hidden="1" customHeight="1">
      <c r="A84" s="17">
        <f t="shared" si="1"/>
        <v>7</v>
      </c>
      <c r="B84" s="14" t="s">
        <v>10</v>
      </c>
      <c r="C84" s="1" t="s">
        <v>34</v>
      </c>
      <c r="D84" s="1" t="s">
        <v>35</v>
      </c>
      <c r="E84" t="s">
        <v>36</v>
      </c>
      <c r="F84" t="s">
        <v>33</v>
      </c>
      <c r="G84" s="3" t="s">
        <v>176</v>
      </c>
      <c r="H84" s="2">
        <v>46327</v>
      </c>
      <c r="I84" s="36"/>
      <c r="J84" s="36">
        <v>0</v>
      </c>
      <c r="K84" s="33">
        <f>SUMIFS($J$2:J84,$C$2:C84,C84)</f>
        <v>0.15</v>
      </c>
    </row>
    <row r="85" spans="1:11" ht="50.1" hidden="1" customHeight="1">
      <c r="A85" s="17">
        <f t="shared" si="1"/>
        <v>7</v>
      </c>
      <c r="B85" s="14" t="s">
        <v>10</v>
      </c>
      <c r="C85" s="1" t="s">
        <v>34</v>
      </c>
      <c r="D85" s="1" t="s">
        <v>35</v>
      </c>
      <c r="E85" t="s">
        <v>36</v>
      </c>
      <c r="F85" t="s">
        <v>33</v>
      </c>
      <c r="G85" s="3" t="s">
        <v>176</v>
      </c>
      <c r="H85" s="2">
        <v>46357</v>
      </c>
      <c r="I85" s="36">
        <v>0.4</v>
      </c>
      <c r="J85" s="36">
        <v>0</v>
      </c>
      <c r="K85" s="33">
        <f>SUMIFS($J$2:J85,$C$2:C85,C85)</f>
        <v>0.15</v>
      </c>
    </row>
    <row r="86" spans="1:11" ht="50.1" hidden="1" customHeight="1">
      <c r="A86" s="17">
        <f t="shared" si="1"/>
        <v>8</v>
      </c>
      <c r="B86" s="14" t="s">
        <v>10</v>
      </c>
      <c r="C86" s="1" t="s">
        <v>37</v>
      </c>
      <c r="D86" s="1" t="s">
        <v>38</v>
      </c>
      <c r="E86" t="s">
        <v>39</v>
      </c>
      <c r="F86" t="s">
        <v>40</v>
      </c>
      <c r="G86" s="3" t="s">
        <v>176</v>
      </c>
      <c r="H86" s="2">
        <v>46023</v>
      </c>
      <c r="I86" s="36"/>
      <c r="J86" s="36">
        <v>0</v>
      </c>
      <c r="K86" s="33">
        <f>SUMIFS($J$2:J86,$C$2:C86,C86)</f>
        <v>0</v>
      </c>
    </row>
    <row r="87" spans="1:11" ht="50.1" hidden="1" customHeight="1">
      <c r="A87" s="17">
        <f t="shared" si="1"/>
        <v>8</v>
      </c>
      <c r="B87" s="14" t="s">
        <v>10</v>
      </c>
      <c r="C87" s="1" t="s">
        <v>37</v>
      </c>
      <c r="D87" s="1" t="s">
        <v>38</v>
      </c>
      <c r="E87" t="s">
        <v>39</v>
      </c>
      <c r="F87" t="s">
        <v>40</v>
      </c>
      <c r="G87" s="3" t="s">
        <v>176</v>
      </c>
      <c r="H87" s="2">
        <v>46054</v>
      </c>
      <c r="I87" s="36"/>
      <c r="J87" s="36">
        <v>0</v>
      </c>
      <c r="K87" s="33">
        <f>SUMIFS($J$2:J87,$C$2:C87,C87)</f>
        <v>0</v>
      </c>
    </row>
    <row r="88" spans="1:11" ht="50.1" hidden="1" customHeight="1">
      <c r="A88" s="17">
        <f t="shared" si="1"/>
        <v>8</v>
      </c>
      <c r="B88" s="14" t="s">
        <v>10</v>
      </c>
      <c r="C88" s="1" t="s">
        <v>37</v>
      </c>
      <c r="D88" s="1" t="s">
        <v>38</v>
      </c>
      <c r="E88" t="s">
        <v>39</v>
      </c>
      <c r="F88" t="s">
        <v>40</v>
      </c>
      <c r="G88" s="3" t="s">
        <v>176</v>
      </c>
      <c r="H88" s="2">
        <v>46082</v>
      </c>
      <c r="I88" s="36"/>
      <c r="J88" s="36">
        <v>0</v>
      </c>
      <c r="K88" s="33">
        <f>SUMIFS($J$2:J88,$C$2:C88,C88)</f>
        <v>0</v>
      </c>
    </row>
    <row r="89" spans="1:11" ht="50.1" hidden="1" customHeight="1">
      <c r="A89" s="17">
        <f t="shared" si="1"/>
        <v>8</v>
      </c>
      <c r="B89" s="14" t="s">
        <v>10</v>
      </c>
      <c r="C89" s="1" t="s">
        <v>37</v>
      </c>
      <c r="D89" s="1" t="s">
        <v>38</v>
      </c>
      <c r="E89" t="s">
        <v>39</v>
      </c>
      <c r="F89" t="s">
        <v>40</v>
      </c>
      <c r="G89" s="3" t="s">
        <v>176</v>
      </c>
      <c r="H89" s="2">
        <v>46113</v>
      </c>
      <c r="I89" s="36"/>
      <c r="J89" s="36">
        <v>0</v>
      </c>
      <c r="K89" s="33">
        <f>SUMIFS($J$2:J89,$C$2:C89,C89)</f>
        <v>0</v>
      </c>
    </row>
    <row r="90" spans="1:11" ht="50.1" hidden="1" customHeight="1">
      <c r="A90" s="17">
        <f t="shared" si="1"/>
        <v>8</v>
      </c>
      <c r="B90" s="14" t="s">
        <v>10</v>
      </c>
      <c r="C90" s="1" t="s">
        <v>37</v>
      </c>
      <c r="D90" s="1" t="s">
        <v>38</v>
      </c>
      <c r="E90" t="s">
        <v>39</v>
      </c>
      <c r="F90" t="s">
        <v>40</v>
      </c>
      <c r="G90" s="3" t="s">
        <v>176</v>
      </c>
      <c r="H90" s="2">
        <v>46143</v>
      </c>
      <c r="I90" s="36"/>
      <c r="J90" s="36">
        <v>0</v>
      </c>
      <c r="K90" s="33">
        <f>SUMIFS($J$2:J90,$C$2:C90,C90)</f>
        <v>0</v>
      </c>
    </row>
    <row r="91" spans="1:11" ht="50.1" hidden="1" customHeight="1">
      <c r="A91" s="17">
        <f t="shared" si="1"/>
        <v>8</v>
      </c>
      <c r="B91" s="14" t="s">
        <v>10</v>
      </c>
      <c r="C91" s="1" t="s">
        <v>37</v>
      </c>
      <c r="D91" s="1" t="s">
        <v>38</v>
      </c>
      <c r="E91" t="s">
        <v>39</v>
      </c>
      <c r="F91" t="s">
        <v>40</v>
      </c>
      <c r="G91" s="3" t="s">
        <v>176</v>
      </c>
      <c r="H91" s="2">
        <v>46174</v>
      </c>
      <c r="I91" s="36"/>
      <c r="J91" s="36">
        <v>0</v>
      </c>
      <c r="K91" s="33">
        <f>SUMIFS($J$2:J91,$C$2:C91,C91)</f>
        <v>0</v>
      </c>
    </row>
    <row r="92" spans="1:11" ht="50.1" hidden="1" customHeight="1">
      <c r="A92" s="17">
        <f t="shared" si="1"/>
        <v>8</v>
      </c>
      <c r="B92" s="14" t="s">
        <v>10</v>
      </c>
      <c r="C92" s="1" t="s">
        <v>37</v>
      </c>
      <c r="D92" s="1" t="s">
        <v>38</v>
      </c>
      <c r="E92" t="s">
        <v>39</v>
      </c>
      <c r="F92" t="s">
        <v>40</v>
      </c>
      <c r="G92" s="3" t="s">
        <v>176</v>
      </c>
      <c r="H92" s="2">
        <v>46204</v>
      </c>
      <c r="I92" s="36"/>
      <c r="J92" s="36">
        <v>0</v>
      </c>
      <c r="K92" s="33">
        <f>SUMIFS($J$2:J92,$C$2:C92,C92)</f>
        <v>0</v>
      </c>
    </row>
    <row r="93" spans="1:11" ht="50.1" hidden="1" customHeight="1">
      <c r="A93" s="17">
        <f t="shared" si="1"/>
        <v>8</v>
      </c>
      <c r="B93" s="14" t="s">
        <v>10</v>
      </c>
      <c r="C93" s="1" t="s">
        <v>37</v>
      </c>
      <c r="D93" s="1" t="s">
        <v>38</v>
      </c>
      <c r="E93" t="s">
        <v>39</v>
      </c>
      <c r="F93" t="s">
        <v>40</v>
      </c>
      <c r="G93" s="3" t="s">
        <v>176</v>
      </c>
      <c r="H93" s="2">
        <v>46235</v>
      </c>
      <c r="I93" s="36"/>
      <c r="J93" s="36">
        <v>0</v>
      </c>
      <c r="K93" s="33">
        <f>SUMIFS($J$2:J93,$C$2:C93,C93)</f>
        <v>0</v>
      </c>
    </row>
    <row r="94" spans="1:11" ht="50.1" hidden="1" customHeight="1">
      <c r="A94" s="17">
        <f t="shared" si="1"/>
        <v>8</v>
      </c>
      <c r="B94" s="14" t="s">
        <v>10</v>
      </c>
      <c r="C94" s="1" t="s">
        <v>37</v>
      </c>
      <c r="D94" s="1" t="s">
        <v>38</v>
      </c>
      <c r="E94" t="s">
        <v>39</v>
      </c>
      <c r="F94" t="s">
        <v>40</v>
      </c>
      <c r="G94" s="3" t="s">
        <v>176</v>
      </c>
      <c r="H94" s="2">
        <v>46266</v>
      </c>
      <c r="I94" s="36"/>
      <c r="J94" s="36">
        <v>0</v>
      </c>
      <c r="K94" s="33">
        <f>SUMIFS($J$2:J94,$C$2:C94,C94)</f>
        <v>0</v>
      </c>
    </row>
    <row r="95" spans="1:11" ht="50.1" hidden="1" customHeight="1">
      <c r="A95" s="17">
        <f t="shared" si="1"/>
        <v>8</v>
      </c>
      <c r="B95" s="14" t="s">
        <v>10</v>
      </c>
      <c r="C95" s="1" t="s">
        <v>37</v>
      </c>
      <c r="D95" s="1" t="s">
        <v>38</v>
      </c>
      <c r="E95" t="s">
        <v>39</v>
      </c>
      <c r="F95" t="s">
        <v>40</v>
      </c>
      <c r="G95" s="3" t="s">
        <v>176</v>
      </c>
      <c r="H95" s="2">
        <v>46296</v>
      </c>
      <c r="I95" s="36"/>
      <c r="J95" s="36">
        <v>0</v>
      </c>
      <c r="K95" s="33">
        <f>SUMIFS($J$2:J95,$C$2:C95,C95)</f>
        <v>0</v>
      </c>
    </row>
    <row r="96" spans="1:11" ht="50.1" hidden="1" customHeight="1">
      <c r="A96" s="17">
        <f t="shared" si="1"/>
        <v>8</v>
      </c>
      <c r="B96" s="14" t="s">
        <v>10</v>
      </c>
      <c r="C96" s="1" t="s">
        <v>37</v>
      </c>
      <c r="D96" s="1" t="s">
        <v>38</v>
      </c>
      <c r="E96" t="s">
        <v>39</v>
      </c>
      <c r="F96" t="s">
        <v>40</v>
      </c>
      <c r="G96" s="3" t="s">
        <v>176</v>
      </c>
      <c r="H96" s="2">
        <v>46327</v>
      </c>
      <c r="I96" s="36"/>
      <c r="J96" s="36">
        <v>0</v>
      </c>
      <c r="K96" s="33">
        <f>SUMIFS($J$2:J96,$C$2:C96,C96)</f>
        <v>0</v>
      </c>
    </row>
    <row r="97" spans="1:11" ht="50.1" hidden="1" customHeight="1">
      <c r="A97" s="17">
        <f t="shared" si="1"/>
        <v>8</v>
      </c>
      <c r="B97" s="14" t="s">
        <v>10</v>
      </c>
      <c r="C97" s="1" t="s">
        <v>37</v>
      </c>
      <c r="D97" s="1" t="s">
        <v>38</v>
      </c>
      <c r="E97" t="s">
        <v>39</v>
      </c>
      <c r="F97" t="s">
        <v>40</v>
      </c>
      <c r="G97" s="3" t="s">
        <v>176</v>
      </c>
      <c r="H97" s="2">
        <v>46357</v>
      </c>
      <c r="I97" s="36">
        <v>1</v>
      </c>
      <c r="J97" s="36">
        <v>0</v>
      </c>
      <c r="K97" s="33">
        <f>SUMIFS($J$2:J97,$C$2:C97,C97)</f>
        <v>0</v>
      </c>
    </row>
    <row r="98" spans="1:11" ht="50.1" hidden="1" customHeight="1">
      <c r="A98" s="17">
        <f t="shared" si="1"/>
        <v>9</v>
      </c>
      <c r="B98" s="14" t="s">
        <v>10</v>
      </c>
      <c r="C98" s="1" t="s">
        <v>41</v>
      </c>
      <c r="D98" s="1" t="s">
        <v>42</v>
      </c>
      <c r="E98" t="s">
        <v>43</v>
      </c>
      <c r="F98" t="s">
        <v>40</v>
      </c>
      <c r="G98" s="3" t="s">
        <v>176</v>
      </c>
      <c r="H98" s="2">
        <v>46023</v>
      </c>
      <c r="I98" s="36"/>
      <c r="J98" s="36">
        <v>0</v>
      </c>
      <c r="K98" s="33">
        <f>SUMIFS($J$2:J98,$C$2:C98,C98)</f>
        <v>0</v>
      </c>
    </row>
    <row r="99" spans="1:11" ht="50.1" hidden="1" customHeight="1">
      <c r="A99" s="17">
        <f t="shared" si="1"/>
        <v>9</v>
      </c>
      <c r="B99" s="14" t="s">
        <v>10</v>
      </c>
      <c r="C99" s="1" t="s">
        <v>41</v>
      </c>
      <c r="D99" s="1" t="s">
        <v>42</v>
      </c>
      <c r="E99" t="s">
        <v>43</v>
      </c>
      <c r="F99" t="s">
        <v>40</v>
      </c>
      <c r="G99" s="3" t="s">
        <v>176</v>
      </c>
      <c r="H99" s="2">
        <v>46054</v>
      </c>
      <c r="I99" s="36"/>
      <c r="J99" s="36">
        <v>0</v>
      </c>
      <c r="K99" s="33">
        <f>SUMIFS($J$2:J99,$C$2:C99,C99)</f>
        <v>0</v>
      </c>
    </row>
    <row r="100" spans="1:11" ht="50.1" hidden="1" customHeight="1">
      <c r="A100" s="17">
        <f t="shared" si="1"/>
        <v>9</v>
      </c>
      <c r="B100" s="14" t="s">
        <v>10</v>
      </c>
      <c r="C100" s="1" t="s">
        <v>41</v>
      </c>
      <c r="D100" s="1" t="s">
        <v>42</v>
      </c>
      <c r="E100" t="s">
        <v>43</v>
      </c>
      <c r="F100" t="s">
        <v>40</v>
      </c>
      <c r="G100" s="3" t="s">
        <v>176</v>
      </c>
      <c r="H100" s="2">
        <v>46082</v>
      </c>
      <c r="I100" s="36"/>
      <c r="J100" s="36">
        <v>0</v>
      </c>
      <c r="K100" s="33">
        <f>SUMIFS($J$2:J100,$C$2:C100,C100)</f>
        <v>0</v>
      </c>
    </row>
    <row r="101" spans="1:11" ht="50.1" hidden="1" customHeight="1">
      <c r="A101" s="17">
        <f t="shared" si="1"/>
        <v>9</v>
      </c>
      <c r="B101" s="14" t="s">
        <v>10</v>
      </c>
      <c r="C101" s="1" t="s">
        <v>41</v>
      </c>
      <c r="D101" s="1" t="s">
        <v>42</v>
      </c>
      <c r="E101" t="s">
        <v>43</v>
      </c>
      <c r="F101" t="s">
        <v>40</v>
      </c>
      <c r="G101" s="3" t="s">
        <v>176</v>
      </c>
      <c r="H101" s="2">
        <v>46113</v>
      </c>
      <c r="I101" s="36"/>
      <c r="J101" s="36">
        <v>0</v>
      </c>
      <c r="K101" s="33">
        <f>SUMIFS($J$2:J101,$C$2:C101,C101)</f>
        <v>0</v>
      </c>
    </row>
    <row r="102" spans="1:11" ht="50.1" hidden="1" customHeight="1">
      <c r="A102" s="17">
        <f t="shared" si="1"/>
        <v>9</v>
      </c>
      <c r="B102" s="14" t="s">
        <v>10</v>
      </c>
      <c r="C102" s="1" t="s">
        <v>41</v>
      </c>
      <c r="D102" s="1" t="s">
        <v>42</v>
      </c>
      <c r="E102" t="s">
        <v>43</v>
      </c>
      <c r="F102" t="s">
        <v>40</v>
      </c>
      <c r="G102" s="3" t="s">
        <v>176</v>
      </c>
      <c r="H102" s="2">
        <v>46143</v>
      </c>
      <c r="I102" s="36"/>
      <c r="J102" s="36">
        <v>0</v>
      </c>
      <c r="K102" s="33">
        <f>SUMIFS($J$2:J102,$C$2:C102,C102)</f>
        <v>0</v>
      </c>
    </row>
    <row r="103" spans="1:11" ht="50.1" hidden="1" customHeight="1">
      <c r="A103" s="17">
        <f t="shared" si="1"/>
        <v>9</v>
      </c>
      <c r="B103" s="14" t="s">
        <v>10</v>
      </c>
      <c r="C103" s="1" t="s">
        <v>41</v>
      </c>
      <c r="D103" s="1" t="s">
        <v>42</v>
      </c>
      <c r="E103" t="s">
        <v>43</v>
      </c>
      <c r="F103" t="s">
        <v>40</v>
      </c>
      <c r="G103" s="3" t="s">
        <v>176</v>
      </c>
      <c r="H103" s="2">
        <v>46174</v>
      </c>
      <c r="I103" s="36"/>
      <c r="J103" s="36">
        <v>0</v>
      </c>
      <c r="K103" s="33">
        <f>SUMIFS($J$2:J103,$C$2:C103,C103)</f>
        <v>0</v>
      </c>
    </row>
    <row r="104" spans="1:11" ht="50.1" hidden="1" customHeight="1">
      <c r="A104" s="17">
        <f t="shared" si="1"/>
        <v>9</v>
      </c>
      <c r="B104" s="14" t="s">
        <v>10</v>
      </c>
      <c r="C104" s="1" t="s">
        <v>41</v>
      </c>
      <c r="D104" s="1" t="s">
        <v>42</v>
      </c>
      <c r="E104" t="s">
        <v>43</v>
      </c>
      <c r="F104" t="s">
        <v>40</v>
      </c>
      <c r="G104" s="3" t="s">
        <v>176</v>
      </c>
      <c r="H104" s="2">
        <v>46204</v>
      </c>
      <c r="I104" s="36">
        <v>0.3</v>
      </c>
      <c r="J104" s="36">
        <v>0</v>
      </c>
      <c r="K104" s="33">
        <f>SUMIFS($J$2:J104,$C$2:C104,C104)</f>
        <v>0</v>
      </c>
    </row>
    <row r="105" spans="1:11" ht="50.1" hidden="1" customHeight="1">
      <c r="A105" s="17">
        <f t="shared" si="1"/>
        <v>9</v>
      </c>
      <c r="B105" s="14" t="s">
        <v>10</v>
      </c>
      <c r="C105" s="1" t="s">
        <v>41</v>
      </c>
      <c r="D105" s="1" t="s">
        <v>42</v>
      </c>
      <c r="E105" t="s">
        <v>43</v>
      </c>
      <c r="F105" t="s">
        <v>40</v>
      </c>
      <c r="G105" s="3" t="s">
        <v>176</v>
      </c>
      <c r="H105" s="2">
        <v>46235</v>
      </c>
      <c r="I105" s="36"/>
      <c r="J105" s="36">
        <v>0</v>
      </c>
      <c r="K105" s="33">
        <f>SUMIFS($J$2:J105,$C$2:C105,C105)</f>
        <v>0</v>
      </c>
    </row>
    <row r="106" spans="1:11" ht="50.1" hidden="1" customHeight="1">
      <c r="A106" s="17">
        <f t="shared" si="1"/>
        <v>9</v>
      </c>
      <c r="B106" s="14" t="s">
        <v>10</v>
      </c>
      <c r="C106" s="1" t="s">
        <v>41</v>
      </c>
      <c r="D106" s="1" t="s">
        <v>42</v>
      </c>
      <c r="E106" t="s">
        <v>43</v>
      </c>
      <c r="F106" t="s">
        <v>40</v>
      </c>
      <c r="G106" s="3" t="s">
        <v>176</v>
      </c>
      <c r="H106" s="2">
        <v>46266</v>
      </c>
      <c r="I106" s="36"/>
      <c r="J106" s="36">
        <v>0</v>
      </c>
      <c r="K106" s="33">
        <f>SUMIFS($J$2:J106,$C$2:C106,C106)</f>
        <v>0</v>
      </c>
    </row>
    <row r="107" spans="1:11" ht="50.1" hidden="1" customHeight="1">
      <c r="A107" s="17">
        <f t="shared" si="1"/>
        <v>9</v>
      </c>
      <c r="B107" s="14" t="s">
        <v>10</v>
      </c>
      <c r="C107" s="1" t="s">
        <v>41</v>
      </c>
      <c r="D107" s="1" t="s">
        <v>42</v>
      </c>
      <c r="E107" t="s">
        <v>43</v>
      </c>
      <c r="F107" t="s">
        <v>40</v>
      </c>
      <c r="G107" s="3" t="s">
        <v>176</v>
      </c>
      <c r="H107" s="2">
        <v>46296</v>
      </c>
      <c r="I107" s="36"/>
      <c r="J107" s="36">
        <v>0</v>
      </c>
      <c r="K107" s="33">
        <f>SUMIFS($J$2:J107,$C$2:C107,C107)</f>
        <v>0</v>
      </c>
    </row>
    <row r="108" spans="1:11" ht="50.1" hidden="1" customHeight="1">
      <c r="A108" s="17">
        <f t="shared" si="1"/>
        <v>9</v>
      </c>
      <c r="B108" s="14" t="s">
        <v>10</v>
      </c>
      <c r="C108" s="1" t="s">
        <v>41</v>
      </c>
      <c r="D108" s="1" t="s">
        <v>42</v>
      </c>
      <c r="E108" t="s">
        <v>43</v>
      </c>
      <c r="F108" t="s">
        <v>40</v>
      </c>
      <c r="G108" s="3" t="s">
        <v>176</v>
      </c>
      <c r="H108" s="2">
        <v>46327</v>
      </c>
      <c r="I108" s="36"/>
      <c r="J108" s="36">
        <v>0</v>
      </c>
      <c r="K108" s="33">
        <f>SUMIFS($J$2:J108,$C$2:C108,C108)</f>
        <v>0</v>
      </c>
    </row>
    <row r="109" spans="1:11" ht="50.1" hidden="1" customHeight="1">
      <c r="A109" s="17">
        <f t="shared" si="1"/>
        <v>9</v>
      </c>
      <c r="B109" s="14" t="s">
        <v>10</v>
      </c>
      <c r="C109" s="1" t="s">
        <v>41</v>
      </c>
      <c r="D109" s="1" t="s">
        <v>42</v>
      </c>
      <c r="E109" t="s">
        <v>43</v>
      </c>
      <c r="F109" t="s">
        <v>40</v>
      </c>
      <c r="G109" s="3" t="s">
        <v>176</v>
      </c>
      <c r="H109" s="2">
        <v>46357</v>
      </c>
      <c r="I109" s="36">
        <v>0.7</v>
      </c>
      <c r="J109" s="36">
        <v>0</v>
      </c>
      <c r="K109" s="33">
        <f>SUMIFS($J$2:J109,$C$2:C109,C109)</f>
        <v>0</v>
      </c>
    </row>
    <row r="110" spans="1:11" ht="50.1" hidden="1" customHeight="1">
      <c r="A110" s="17">
        <f t="shared" si="1"/>
        <v>10</v>
      </c>
      <c r="B110" s="14" t="s">
        <v>10</v>
      </c>
      <c r="C110" s="1" t="s">
        <v>44</v>
      </c>
      <c r="D110" s="1" t="s">
        <v>45</v>
      </c>
      <c r="E110" t="s">
        <v>46</v>
      </c>
      <c r="F110" t="s">
        <v>47</v>
      </c>
      <c r="G110" s="3" t="s">
        <v>176</v>
      </c>
      <c r="H110" s="2">
        <v>46023</v>
      </c>
      <c r="I110" s="36"/>
      <c r="J110" s="36">
        <v>0</v>
      </c>
      <c r="K110" s="33">
        <f>SUMIFS($J$2:J110,$C$2:C110,C110)</f>
        <v>0</v>
      </c>
    </row>
    <row r="111" spans="1:11" ht="50.1" hidden="1" customHeight="1">
      <c r="A111" s="17">
        <f t="shared" si="1"/>
        <v>10</v>
      </c>
      <c r="B111" s="14" t="s">
        <v>10</v>
      </c>
      <c r="C111" s="1" t="s">
        <v>44</v>
      </c>
      <c r="D111" s="1" t="s">
        <v>45</v>
      </c>
      <c r="E111" t="s">
        <v>46</v>
      </c>
      <c r="F111" t="s">
        <v>47</v>
      </c>
      <c r="G111" s="3" t="s">
        <v>176</v>
      </c>
      <c r="H111" s="2">
        <v>46054</v>
      </c>
      <c r="I111" s="36"/>
      <c r="J111" s="36">
        <v>0</v>
      </c>
      <c r="K111" s="33">
        <f>SUMIFS($J$2:J111,$C$2:C111,C111)</f>
        <v>0</v>
      </c>
    </row>
    <row r="112" spans="1:11" ht="50.1" hidden="1" customHeight="1">
      <c r="A112" s="17">
        <f t="shared" si="1"/>
        <v>10</v>
      </c>
      <c r="B112" s="14" t="s">
        <v>10</v>
      </c>
      <c r="C112" s="1" t="s">
        <v>44</v>
      </c>
      <c r="D112" s="1" t="s">
        <v>45</v>
      </c>
      <c r="E112" t="s">
        <v>46</v>
      </c>
      <c r="F112" t="s">
        <v>47</v>
      </c>
      <c r="G112" s="3" t="s">
        <v>176</v>
      </c>
      <c r="H112" s="2">
        <v>46082</v>
      </c>
      <c r="I112" s="36"/>
      <c r="J112" s="36">
        <v>0</v>
      </c>
      <c r="K112" s="33">
        <f>SUMIFS($J$2:J112,$C$2:C112,C112)</f>
        <v>0</v>
      </c>
    </row>
    <row r="113" spans="1:11" ht="50.1" hidden="1" customHeight="1">
      <c r="A113" s="17">
        <f t="shared" si="1"/>
        <v>10</v>
      </c>
      <c r="B113" s="14" t="s">
        <v>10</v>
      </c>
      <c r="C113" s="1" t="s">
        <v>44</v>
      </c>
      <c r="D113" s="1" t="s">
        <v>45</v>
      </c>
      <c r="E113" t="s">
        <v>46</v>
      </c>
      <c r="F113" t="s">
        <v>47</v>
      </c>
      <c r="G113" s="3" t="s">
        <v>176</v>
      </c>
      <c r="H113" s="2">
        <v>46113</v>
      </c>
      <c r="I113" s="36"/>
      <c r="J113" s="36">
        <v>0</v>
      </c>
      <c r="K113" s="33">
        <f>SUMIFS($J$2:J113,$C$2:C113,C113)</f>
        <v>0</v>
      </c>
    </row>
    <row r="114" spans="1:11" ht="50.1" hidden="1" customHeight="1">
      <c r="A114" s="17">
        <f t="shared" si="1"/>
        <v>10</v>
      </c>
      <c r="B114" s="14" t="s">
        <v>10</v>
      </c>
      <c r="C114" s="1" t="s">
        <v>44</v>
      </c>
      <c r="D114" s="1" t="s">
        <v>45</v>
      </c>
      <c r="E114" t="s">
        <v>46</v>
      </c>
      <c r="F114" t="s">
        <v>47</v>
      </c>
      <c r="G114" s="3" t="s">
        <v>176</v>
      </c>
      <c r="H114" s="2">
        <v>46143</v>
      </c>
      <c r="I114" s="36"/>
      <c r="J114" s="36">
        <v>0</v>
      </c>
      <c r="K114" s="33">
        <f>SUMIFS($J$2:J114,$C$2:C114,C114)</f>
        <v>0</v>
      </c>
    </row>
    <row r="115" spans="1:11" ht="50.1" hidden="1" customHeight="1">
      <c r="A115" s="17">
        <f t="shared" si="1"/>
        <v>10</v>
      </c>
      <c r="B115" s="14" t="s">
        <v>10</v>
      </c>
      <c r="C115" s="1" t="s">
        <v>44</v>
      </c>
      <c r="D115" s="1" t="s">
        <v>45</v>
      </c>
      <c r="E115" t="s">
        <v>46</v>
      </c>
      <c r="F115" t="s">
        <v>47</v>
      </c>
      <c r="G115" s="3" t="s">
        <v>176</v>
      </c>
      <c r="H115" s="2">
        <v>46174</v>
      </c>
      <c r="I115" s="36">
        <v>0.3</v>
      </c>
      <c r="J115" s="36">
        <v>0</v>
      </c>
      <c r="K115" s="33">
        <f>SUMIFS($J$2:J115,$C$2:C115,C115)</f>
        <v>0</v>
      </c>
    </row>
    <row r="116" spans="1:11" ht="50.1" hidden="1" customHeight="1">
      <c r="A116" s="17">
        <f t="shared" si="1"/>
        <v>10</v>
      </c>
      <c r="B116" s="14" t="s">
        <v>10</v>
      </c>
      <c r="C116" s="1" t="s">
        <v>44</v>
      </c>
      <c r="D116" s="1" t="s">
        <v>45</v>
      </c>
      <c r="E116" t="s">
        <v>46</v>
      </c>
      <c r="F116" t="s">
        <v>47</v>
      </c>
      <c r="G116" s="3" t="s">
        <v>176</v>
      </c>
      <c r="H116" s="2">
        <v>46204</v>
      </c>
      <c r="I116" s="36"/>
      <c r="J116" s="36">
        <v>0</v>
      </c>
      <c r="K116" s="33">
        <f>SUMIFS($J$2:J116,$C$2:C116,C116)</f>
        <v>0</v>
      </c>
    </row>
    <row r="117" spans="1:11" ht="50.1" hidden="1" customHeight="1">
      <c r="A117" s="17">
        <f t="shared" si="1"/>
        <v>10</v>
      </c>
      <c r="B117" s="14" t="s">
        <v>10</v>
      </c>
      <c r="C117" s="1" t="s">
        <v>44</v>
      </c>
      <c r="D117" s="1" t="s">
        <v>45</v>
      </c>
      <c r="E117" t="s">
        <v>46</v>
      </c>
      <c r="F117" t="s">
        <v>47</v>
      </c>
      <c r="G117" s="3" t="s">
        <v>176</v>
      </c>
      <c r="H117" s="2">
        <v>46235</v>
      </c>
      <c r="I117" s="36">
        <v>0.3</v>
      </c>
      <c r="J117" s="36">
        <v>0</v>
      </c>
      <c r="K117" s="33">
        <f>SUMIFS($J$2:J117,$C$2:C117,C117)</f>
        <v>0</v>
      </c>
    </row>
    <row r="118" spans="1:11" ht="50.1" hidden="1" customHeight="1">
      <c r="A118" s="17">
        <f t="shared" si="1"/>
        <v>10</v>
      </c>
      <c r="B118" s="14" t="s">
        <v>10</v>
      </c>
      <c r="C118" s="1" t="s">
        <v>44</v>
      </c>
      <c r="D118" s="1" t="s">
        <v>45</v>
      </c>
      <c r="E118" t="s">
        <v>46</v>
      </c>
      <c r="F118" t="s">
        <v>47</v>
      </c>
      <c r="G118" s="3" t="s">
        <v>176</v>
      </c>
      <c r="H118" s="2">
        <v>46266</v>
      </c>
      <c r="I118" s="36"/>
      <c r="J118" s="36">
        <v>0</v>
      </c>
      <c r="K118" s="33">
        <f>SUMIFS($J$2:J118,$C$2:C118,C118)</f>
        <v>0</v>
      </c>
    </row>
    <row r="119" spans="1:11" ht="50.1" hidden="1" customHeight="1">
      <c r="A119" s="17">
        <f t="shared" si="1"/>
        <v>10</v>
      </c>
      <c r="B119" s="14" t="s">
        <v>10</v>
      </c>
      <c r="C119" s="1" t="s">
        <v>44</v>
      </c>
      <c r="D119" s="1" t="s">
        <v>45</v>
      </c>
      <c r="E119" t="s">
        <v>46</v>
      </c>
      <c r="F119" t="s">
        <v>47</v>
      </c>
      <c r="G119" s="3" t="s">
        <v>176</v>
      </c>
      <c r="H119" s="2">
        <v>46296</v>
      </c>
      <c r="I119" s="36"/>
      <c r="J119" s="36">
        <v>0</v>
      </c>
      <c r="K119" s="33">
        <f>SUMIFS($J$2:J119,$C$2:C119,C119)</f>
        <v>0</v>
      </c>
    </row>
    <row r="120" spans="1:11" ht="50.1" hidden="1" customHeight="1">
      <c r="A120" s="17">
        <f t="shared" si="1"/>
        <v>10</v>
      </c>
      <c r="B120" s="14" t="s">
        <v>10</v>
      </c>
      <c r="C120" s="1" t="s">
        <v>44</v>
      </c>
      <c r="D120" s="1" t="s">
        <v>45</v>
      </c>
      <c r="E120" t="s">
        <v>46</v>
      </c>
      <c r="F120" t="s">
        <v>47</v>
      </c>
      <c r="G120" s="3" t="s">
        <v>176</v>
      </c>
      <c r="H120" s="2">
        <v>46327</v>
      </c>
      <c r="I120" s="36"/>
      <c r="J120" s="36">
        <v>0</v>
      </c>
      <c r="K120" s="33">
        <f>SUMIFS($J$2:J120,$C$2:C120,C120)</f>
        <v>0</v>
      </c>
    </row>
    <row r="121" spans="1:11" ht="50.1" hidden="1" customHeight="1">
      <c r="A121" s="17">
        <f t="shared" si="1"/>
        <v>10</v>
      </c>
      <c r="B121" s="14" t="s">
        <v>10</v>
      </c>
      <c r="C121" s="1" t="s">
        <v>44</v>
      </c>
      <c r="D121" s="1" t="s">
        <v>45</v>
      </c>
      <c r="E121" t="s">
        <v>46</v>
      </c>
      <c r="F121" t="s">
        <v>47</v>
      </c>
      <c r="G121" s="3" t="s">
        <v>176</v>
      </c>
      <c r="H121" s="2">
        <v>46357</v>
      </c>
      <c r="I121" s="36">
        <v>0.4</v>
      </c>
      <c r="J121" s="36">
        <v>0</v>
      </c>
      <c r="K121" s="33">
        <f>SUMIFS($J$2:J121,$C$2:C121,C121)</f>
        <v>0</v>
      </c>
    </row>
    <row r="122" spans="1:11" ht="50.1" hidden="1" customHeight="1">
      <c r="A122" s="17">
        <f t="shared" si="1"/>
        <v>11</v>
      </c>
      <c r="B122" s="14" t="s">
        <v>10</v>
      </c>
      <c r="C122" s="1" t="s">
        <v>48</v>
      </c>
      <c r="D122" s="1" t="s">
        <v>49</v>
      </c>
      <c r="E122" t="s">
        <v>50</v>
      </c>
      <c r="F122" t="s">
        <v>47</v>
      </c>
      <c r="G122" s="3" t="s">
        <v>176</v>
      </c>
      <c r="H122" s="2">
        <v>46023</v>
      </c>
      <c r="I122" s="36"/>
      <c r="J122" s="36">
        <v>0</v>
      </c>
      <c r="K122" s="33">
        <f>SUMIFS($J$2:J122,$C$2:C122,C122)</f>
        <v>0</v>
      </c>
    </row>
    <row r="123" spans="1:11" ht="50.1" hidden="1" customHeight="1">
      <c r="A123" s="17">
        <f t="shared" si="1"/>
        <v>11</v>
      </c>
      <c r="B123" s="14" t="s">
        <v>10</v>
      </c>
      <c r="C123" s="1" t="s">
        <v>48</v>
      </c>
      <c r="D123" s="1" t="s">
        <v>49</v>
      </c>
      <c r="E123" s="1" t="s">
        <v>50</v>
      </c>
      <c r="F123" t="s">
        <v>47</v>
      </c>
      <c r="G123" s="3" t="s">
        <v>176</v>
      </c>
      <c r="H123" s="2">
        <v>46054</v>
      </c>
      <c r="I123" s="36"/>
      <c r="J123" s="36">
        <v>0</v>
      </c>
      <c r="K123" s="33">
        <f>SUMIFS($J$2:J123,$C$2:C123,C123)</f>
        <v>0</v>
      </c>
    </row>
    <row r="124" spans="1:11" ht="50.1" hidden="1" customHeight="1">
      <c r="A124" s="17">
        <f t="shared" si="1"/>
        <v>11</v>
      </c>
      <c r="B124" s="14" t="s">
        <v>10</v>
      </c>
      <c r="C124" s="1" t="s">
        <v>48</v>
      </c>
      <c r="D124" s="1" t="s">
        <v>49</v>
      </c>
      <c r="E124" t="s">
        <v>50</v>
      </c>
      <c r="F124" t="s">
        <v>47</v>
      </c>
      <c r="G124" s="3" t="s">
        <v>176</v>
      </c>
      <c r="H124" s="2">
        <v>46082</v>
      </c>
      <c r="I124" s="36"/>
      <c r="J124" s="36">
        <v>0</v>
      </c>
      <c r="K124" s="33">
        <f>SUMIFS($J$2:J124,$C$2:C124,C124)</f>
        <v>0</v>
      </c>
    </row>
    <row r="125" spans="1:11" ht="50.1" hidden="1" customHeight="1">
      <c r="A125" s="17">
        <f t="shared" si="1"/>
        <v>11</v>
      </c>
      <c r="B125" s="14" t="s">
        <v>10</v>
      </c>
      <c r="C125" s="1" t="s">
        <v>48</v>
      </c>
      <c r="D125" s="1" t="s">
        <v>49</v>
      </c>
      <c r="E125" t="s">
        <v>50</v>
      </c>
      <c r="F125" t="s">
        <v>47</v>
      </c>
      <c r="G125" s="3" t="s">
        <v>176</v>
      </c>
      <c r="H125" s="2">
        <v>46113</v>
      </c>
      <c r="I125" s="36"/>
      <c r="J125" s="36">
        <v>0</v>
      </c>
      <c r="K125" s="33">
        <f>SUMIFS($J$2:J125,$C$2:C125,C125)</f>
        <v>0</v>
      </c>
    </row>
    <row r="126" spans="1:11" ht="50.1" hidden="1" customHeight="1">
      <c r="A126" s="17">
        <f t="shared" si="1"/>
        <v>11</v>
      </c>
      <c r="B126" s="14" t="s">
        <v>10</v>
      </c>
      <c r="C126" s="1" t="s">
        <v>48</v>
      </c>
      <c r="D126" s="1" t="s">
        <v>49</v>
      </c>
      <c r="E126" t="s">
        <v>50</v>
      </c>
      <c r="F126" t="s">
        <v>47</v>
      </c>
      <c r="G126" s="3" t="s">
        <v>176</v>
      </c>
      <c r="H126" s="2">
        <v>46143</v>
      </c>
      <c r="I126" s="36"/>
      <c r="J126" s="36">
        <v>0</v>
      </c>
      <c r="K126" s="33">
        <f>SUMIFS($J$2:J126,$C$2:C126,C126)</f>
        <v>0</v>
      </c>
    </row>
    <row r="127" spans="1:11" ht="50.1" hidden="1" customHeight="1">
      <c r="A127" s="17">
        <f t="shared" si="1"/>
        <v>11</v>
      </c>
      <c r="B127" s="14" t="s">
        <v>10</v>
      </c>
      <c r="C127" s="1" t="s">
        <v>48</v>
      </c>
      <c r="D127" s="1" t="s">
        <v>49</v>
      </c>
      <c r="E127" t="s">
        <v>50</v>
      </c>
      <c r="F127" t="s">
        <v>47</v>
      </c>
      <c r="G127" s="3" t="s">
        <v>176</v>
      </c>
      <c r="H127" s="2">
        <v>46174</v>
      </c>
      <c r="I127" s="36"/>
      <c r="J127" s="36">
        <v>0</v>
      </c>
      <c r="K127" s="33">
        <f>SUMIFS($J$2:J127,$C$2:C127,C127)</f>
        <v>0</v>
      </c>
    </row>
    <row r="128" spans="1:11" ht="50.1" hidden="1" customHeight="1">
      <c r="A128" s="17">
        <f t="shared" si="1"/>
        <v>11</v>
      </c>
      <c r="B128" s="14" t="s">
        <v>10</v>
      </c>
      <c r="C128" s="1" t="s">
        <v>48</v>
      </c>
      <c r="D128" s="1" t="s">
        <v>49</v>
      </c>
      <c r="E128" t="s">
        <v>50</v>
      </c>
      <c r="F128" t="s">
        <v>47</v>
      </c>
      <c r="G128" s="3" t="s">
        <v>176</v>
      </c>
      <c r="H128" s="2">
        <v>46204</v>
      </c>
      <c r="I128" s="36"/>
      <c r="J128" s="36">
        <v>0</v>
      </c>
      <c r="K128" s="33">
        <f>SUMIFS($J$2:J128,$C$2:C128,C128)</f>
        <v>0</v>
      </c>
    </row>
    <row r="129" spans="1:11" ht="50.1" hidden="1" customHeight="1">
      <c r="A129" s="17">
        <f t="shared" si="1"/>
        <v>11</v>
      </c>
      <c r="B129" s="14" t="s">
        <v>10</v>
      </c>
      <c r="C129" s="1" t="s">
        <v>48</v>
      </c>
      <c r="D129" s="1" t="s">
        <v>49</v>
      </c>
      <c r="E129" t="s">
        <v>50</v>
      </c>
      <c r="F129" t="s">
        <v>47</v>
      </c>
      <c r="G129" s="3" t="s">
        <v>176</v>
      </c>
      <c r="H129" s="2">
        <v>46235</v>
      </c>
      <c r="I129" s="36"/>
      <c r="J129" s="36">
        <v>0</v>
      </c>
      <c r="K129" s="33">
        <f>SUMIFS($J$2:J129,$C$2:C129,C129)</f>
        <v>0</v>
      </c>
    </row>
    <row r="130" spans="1:11" ht="50.1" hidden="1" customHeight="1">
      <c r="A130" s="17">
        <f t="shared" si="1"/>
        <v>11</v>
      </c>
      <c r="B130" s="14" t="s">
        <v>10</v>
      </c>
      <c r="C130" s="1" t="s">
        <v>48</v>
      </c>
      <c r="D130" s="1" t="s">
        <v>49</v>
      </c>
      <c r="E130" t="s">
        <v>50</v>
      </c>
      <c r="F130" t="s">
        <v>47</v>
      </c>
      <c r="G130" s="3" t="s">
        <v>176</v>
      </c>
      <c r="H130" s="2">
        <v>46266</v>
      </c>
      <c r="I130" s="36"/>
      <c r="J130" s="36">
        <v>0</v>
      </c>
      <c r="K130" s="33">
        <f>SUMIFS($J$2:J130,$C$2:C130,C130)</f>
        <v>0</v>
      </c>
    </row>
    <row r="131" spans="1:11" ht="50.1" hidden="1" customHeight="1">
      <c r="A131" s="17">
        <f t="shared" ref="A131:A194" si="2">INT((ROW(A131)-2)/12)+1</f>
        <v>11</v>
      </c>
      <c r="B131" s="14" t="s">
        <v>10</v>
      </c>
      <c r="C131" s="1" t="s">
        <v>48</v>
      </c>
      <c r="D131" s="1" t="s">
        <v>49</v>
      </c>
      <c r="E131" t="s">
        <v>50</v>
      </c>
      <c r="F131" t="s">
        <v>47</v>
      </c>
      <c r="G131" s="3" t="s">
        <v>176</v>
      </c>
      <c r="H131" s="2">
        <v>46296</v>
      </c>
      <c r="I131" s="36"/>
      <c r="J131" s="36">
        <v>0</v>
      </c>
      <c r="K131" s="33">
        <f>SUMIFS($J$2:J131,$C$2:C131,C131)</f>
        <v>0</v>
      </c>
    </row>
    <row r="132" spans="1:11" ht="50.1" hidden="1" customHeight="1">
      <c r="A132" s="17">
        <f t="shared" si="2"/>
        <v>11</v>
      </c>
      <c r="B132" s="14" t="s">
        <v>10</v>
      </c>
      <c r="C132" s="1" t="s">
        <v>48</v>
      </c>
      <c r="D132" s="1" t="s">
        <v>49</v>
      </c>
      <c r="E132" s="1" t="s">
        <v>50</v>
      </c>
      <c r="F132" t="s">
        <v>47</v>
      </c>
      <c r="G132" s="3" t="s">
        <v>176</v>
      </c>
      <c r="H132" s="2">
        <v>46327</v>
      </c>
      <c r="I132" s="36"/>
      <c r="J132" s="36">
        <v>0</v>
      </c>
      <c r="K132" s="33">
        <f>SUMIFS($J$2:J132,$C$2:C132,C132)</f>
        <v>0</v>
      </c>
    </row>
    <row r="133" spans="1:11" ht="50.1" hidden="1" customHeight="1">
      <c r="A133" s="17">
        <f t="shared" si="2"/>
        <v>11</v>
      </c>
      <c r="B133" s="14" t="s">
        <v>10</v>
      </c>
      <c r="C133" s="1" t="s">
        <v>48</v>
      </c>
      <c r="D133" s="1" t="s">
        <v>49</v>
      </c>
      <c r="E133" t="s">
        <v>50</v>
      </c>
      <c r="F133" t="s">
        <v>47</v>
      </c>
      <c r="G133" s="3" t="s">
        <v>176</v>
      </c>
      <c r="H133" s="2">
        <v>46357</v>
      </c>
      <c r="I133" s="36">
        <v>1</v>
      </c>
      <c r="J133" s="36">
        <v>0</v>
      </c>
      <c r="K133" s="33">
        <f>SUMIFS($J$2:J133,$C$2:C133,C133)</f>
        <v>0</v>
      </c>
    </row>
    <row r="134" spans="1:11" ht="60">
      <c r="A134" s="17">
        <f t="shared" si="2"/>
        <v>12</v>
      </c>
      <c r="B134" s="14" t="s">
        <v>11</v>
      </c>
      <c r="C134" s="1" t="s">
        <v>51</v>
      </c>
      <c r="D134" s="1" t="s">
        <v>52</v>
      </c>
      <c r="F134" t="s">
        <v>53</v>
      </c>
      <c r="G134" s="3" t="s">
        <v>176</v>
      </c>
      <c r="H134" s="2">
        <v>46023</v>
      </c>
      <c r="I134" s="36">
        <v>0.7</v>
      </c>
      <c r="J134" s="36">
        <v>0.88</v>
      </c>
      <c r="K134" s="33">
        <v>0.88</v>
      </c>
    </row>
    <row r="135" spans="1:11" ht="60">
      <c r="A135" s="17">
        <f t="shared" si="2"/>
        <v>12</v>
      </c>
      <c r="B135" s="14" t="s">
        <v>11</v>
      </c>
      <c r="C135" s="1" t="s">
        <v>51</v>
      </c>
      <c r="D135" s="1" t="s">
        <v>52</v>
      </c>
      <c r="F135" t="s">
        <v>53</v>
      </c>
      <c r="G135" s="3" t="s">
        <v>176</v>
      </c>
      <c r="H135" s="2">
        <v>46054</v>
      </c>
      <c r="I135" s="36">
        <v>0.7</v>
      </c>
      <c r="J135" s="36">
        <v>0.8</v>
      </c>
      <c r="K135" s="33">
        <v>0.85</v>
      </c>
    </row>
    <row r="136" spans="1:11" ht="60">
      <c r="A136" s="17">
        <f t="shared" si="2"/>
        <v>12</v>
      </c>
      <c r="B136" s="14" t="s">
        <v>11</v>
      </c>
      <c r="C136" s="1" t="s">
        <v>51</v>
      </c>
      <c r="D136" s="1" t="s">
        <v>52</v>
      </c>
      <c r="F136" t="s">
        <v>53</v>
      </c>
      <c r="G136" s="3" t="s">
        <v>176</v>
      </c>
      <c r="H136" s="2">
        <v>46082</v>
      </c>
      <c r="I136" s="36">
        <v>0.7</v>
      </c>
      <c r="J136" s="36">
        <v>0.68</v>
      </c>
      <c r="K136" s="33">
        <v>0.77</v>
      </c>
    </row>
    <row r="137" spans="1:11" ht="60">
      <c r="A137" s="17">
        <f t="shared" si="2"/>
        <v>12</v>
      </c>
      <c r="B137" s="14" t="s">
        <v>11</v>
      </c>
      <c r="C137" s="1" t="s">
        <v>51</v>
      </c>
      <c r="D137" s="1" t="s">
        <v>52</v>
      </c>
      <c r="F137" t="s">
        <v>53</v>
      </c>
      <c r="G137" s="3" t="s">
        <v>176</v>
      </c>
      <c r="H137" s="2">
        <v>46113</v>
      </c>
      <c r="I137" s="36">
        <v>0.7</v>
      </c>
      <c r="J137" s="36">
        <v>0.7</v>
      </c>
      <c r="K137" s="33">
        <v>0.75</v>
      </c>
    </row>
    <row r="138" spans="1:11" ht="60">
      <c r="A138" s="17">
        <f t="shared" si="2"/>
        <v>12</v>
      </c>
      <c r="B138" s="14" t="s">
        <v>11</v>
      </c>
      <c r="C138" s="1" t="s">
        <v>51</v>
      </c>
      <c r="D138" s="1" t="s">
        <v>52</v>
      </c>
      <c r="F138" t="s">
        <v>53</v>
      </c>
      <c r="G138" s="3" t="s">
        <v>176</v>
      </c>
      <c r="H138" s="2">
        <v>46143</v>
      </c>
      <c r="I138" s="36">
        <v>0.7</v>
      </c>
      <c r="J138" s="36">
        <v>0</v>
      </c>
      <c r="K138" s="33"/>
    </row>
    <row r="139" spans="1:11" ht="60">
      <c r="A139" s="17">
        <f t="shared" si="2"/>
        <v>12</v>
      </c>
      <c r="B139" s="14" t="s">
        <v>11</v>
      </c>
      <c r="C139" s="1" t="s">
        <v>51</v>
      </c>
      <c r="D139" s="1" t="s">
        <v>52</v>
      </c>
      <c r="F139" t="s">
        <v>53</v>
      </c>
      <c r="G139" s="3" t="s">
        <v>176</v>
      </c>
      <c r="H139" s="2">
        <v>46174</v>
      </c>
      <c r="I139" s="36">
        <v>0.7</v>
      </c>
      <c r="J139" s="36">
        <v>0</v>
      </c>
      <c r="K139" s="33"/>
    </row>
    <row r="140" spans="1:11" ht="60">
      <c r="A140" s="17">
        <f t="shared" si="2"/>
        <v>12</v>
      </c>
      <c r="B140" s="14" t="s">
        <v>11</v>
      </c>
      <c r="C140" s="1" t="s">
        <v>51</v>
      </c>
      <c r="D140" s="1" t="s">
        <v>52</v>
      </c>
      <c r="F140" t="s">
        <v>53</v>
      </c>
      <c r="G140" s="3" t="s">
        <v>176</v>
      </c>
      <c r="H140" s="2">
        <v>46204</v>
      </c>
      <c r="I140" s="36">
        <v>0.7</v>
      </c>
      <c r="J140" s="36">
        <v>0</v>
      </c>
      <c r="K140" s="33"/>
    </row>
    <row r="141" spans="1:11" ht="60">
      <c r="A141" s="17">
        <f t="shared" si="2"/>
        <v>12</v>
      </c>
      <c r="B141" s="14" t="s">
        <v>11</v>
      </c>
      <c r="C141" s="1" t="s">
        <v>51</v>
      </c>
      <c r="D141" s="1" t="s">
        <v>52</v>
      </c>
      <c r="F141" t="s">
        <v>53</v>
      </c>
      <c r="G141" s="3" t="s">
        <v>176</v>
      </c>
      <c r="H141" s="2">
        <v>46235</v>
      </c>
      <c r="I141" s="36">
        <v>0.7</v>
      </c>
      <c r="J141" s="36">
        <v>0</v>
      </c>
      <c r="K141" s="33"/>
    </row>
    <row r="142" spans="1:11" ht="60">
      <c r="A142" s="17">
        <f t="shared" si="2"/>
        <v>12</v>
      </c>
      <c r="B142" s="14" t="s">
        <v>11</v>
      </c>
      <c r="C142" s="1" t="s">
        <v>51</v>
      </c>
      <c r="D142" s="1" t="s">
        <v>52</v>
      </c>
      <c r="F142" t="s">
        <v>53</v>
      </c>
      <c r="G142" s="3" t="s">
        <v>176</v>
      </c>
      <c r="H142" s="2">
        <v>46266</v>
      </c>
      <c r="I142" s="36">
        <v>0.7</v>
      </c>
      <c r="J142" s="36">
        <v>0</v>
      </c>
      <c r="K142" s="33"/>
    </row>
    <row r="143" spans="1:11" ht="60">
      <c r="A143" s="17">
        <f t="shared" si="2"/>
        <v>12</v>
      </c>
      <c r="B143" s="14" t="s">
        <v>11</v>
      </c>
      <c r="C143" s="1" t="s">
        <v>51</v>
      </c>
      <c r="D143" s="1" t="s">
        <v>52</v>
      </c>
      <c r="F143" t="s">
        <v>53</v>
      </c>
      <c r="G143" s="3" t="s">
        <v>176</v>
      </c>
      <c r="H143" s="2">
        <v>46296</v>
      </c>
      <c r="I143" s="36">
        <v>0.7</v>
      </c>
      <c r="J143" s="36">
        <v>0</v>
      </c>
      <c r="K143" s="33"/>
    </row>
    <row r="144" spans="1:11" ht="60">
      <c r="A144" s="17">
        <f t="shared" si="2"/>
        <v>12</v>
      </c>
      <c r="B144" s="14" t="s">
        <v>11</v>
      </c>
      <c r="C144" s="1" t="s">
        <v>51</v>
      </c>
      <c r="D144" s="1" t="s">
        <v>52</v>
      </c>
      <c r="F144" t="s">
        <v>53</v>
      </c>
      <c r="G144" s="3" t="s">
        <v>176</v>
      </c>
      <c r="H144" s="2">
        <v>46327</v>
      </c>
      <c r="I144" s="36">
        <v>0.7</v>
      </c>
      <c r="J144" s="36">
        <v>0</v>
      </c>
      <c r="K144" s="33"/>
    </row>
    <row r="145" spans="1:11" ht="60">
      <c r="A145" s="17">
        <f t="shared" si="2"/>
        <v>12</v>
      </c>
      <c r="B145" s="14" t="s">
        <v>11</v>
      </c>
      <c r="C145" s="1" t="s">
        <v>51</v>
      </c>
      <c r="D145" s="1" t="s">
        <v>52</v>
      </c>
      <c r="F145" t="s">
        <v>53</v>
      </c>
      <c r="G145" s="3" t="s">
        <v>176</v>
      </c>
      <c r="H145" s="2">
        <v>46357</v>
      </c>
      <c r="I145" s="36">
        <v>0.7</v>
      </c>
      <c r="J145" s="36">
        <v>0</v>
      </c>
      <c r="K145" s="33"/>
    </row>
    <row r="146" spans="1:11" ht="50.1" hidden="1" customHeight="1">
      <c r="A146" s="17">
        <f t="shared" si="2"/>
        <v>13</v>
      </c>
      <c r="B146" s="14" t="s">
        <v>10</v>
      </c>
      <c r="C146" s="1" t="s">
        <v>54</v>
      </c>
      <c r="D146" s="1" t="s">
        <v>55</v>
      </c>
      <c r="E146" t="s">
        <v>56</v>
      </c>
      <c r="F146" t="s">
        <v>53</v>
      </c>
      <c r="G146" s="3" t="s">
        <v>176</v>
      </c>
      <c r="H146" s="2">
        <v>46023</v>
      </c>
      <c r="I146" s="36"/>
      <c r="J146" s="36">
        <v>0</v>
      </c>
      <c r="K146" s="33">
        <f>SUMIFS($J$2:J146,$C$2:C146,C146)</f>
        <v>0</v>
      </c>
    </row>
    <row r="147" spans="1:11" ht="50.1" hidden="1" customHeight="1">
      <c r="A147" s="17">
        <f t="shared" si="2"/>
        <v>13</v>
      </c>
      <c r="B147" s="14" t="s">
        <v>10</v>
      </c>
      <c r="C147" s="1" t="s">
        <v>54</v>
      </c>
      <c r="D147" s="1" t="s">
        <v>55</v>
      </c>
      <c r="E147" t="s">
        <v>56</v>
      </c>
      <c r="F147" t="s">
        <v>53</v>
      </c>
      <c r="G147" s="3" t="s">
        <v>176</v>
      </c>
      <c r="H147" s="2">
        <v>46054</v>
      </c>
      <c r="I147" s="36"/>
      <c r="J147" s="36">
        <v>0</v>
      </c>
      <c r="K147" s="33">
        <f>SUMIFS($J$2:J147,$C$2:C147,C147)</f>
        <v>0</v>
      </c>
    </row>
    <row r="148" spans="1:11" ht="50.1" hidden="1" customHeight="1">
      <c r="A148" s="17">
        <f t="shared" si="2"/>
        <v>13</v>
      </c>
      <c r="B148" s="14" t="s">
        <v>10</v>
      </c>
      <c r="C148" s="1" t="s">
        <v>54</v>
      </c>
      <c r="D148" s="1" t="s">
        <v>55</v>
      </c>
      <c r="E148" t="s">
        <v>56</v>
      </c>
      <c r="F148" t="s">
        <v>53</v>
      </c>
      <c r="G148" s="3" t="s">
        <v>176</v>
      </c>
      <c r="H148" s="2">
        <v>46082</v>
      </c>
      <c r="I148" s="36"/>
      <c r="J148" s="36">
        <v>0</v>
      </c>
      <c r="K148" s="33">
        <f>SUMIFS($J$2:J148,$C$2:C148,C148)</f>
        <v>0</v>
      </c>
    </row>
    <row r="149" spans="1:11" ht="50.1" hidden="1" customHeight="1">
      <c r="A149" s="17">
        <f t="shared" si="2"/>
        <v>13</v>
      </c>
      <c r="B149" s="14" t="s">
        <v>10</v>
      </c>
      <c r="C149" s="1" t="s">
        <v>54</v>
      </c>
      <c r="D149" s="1" t="s">
        <v>55</v>
      </c>
      <c r="E149" t="s">
        <v>56</v>
      </c>
      <c r="F149" t="s">
        <v>53</v>
      </c>
      <c r="G149" s="3" t="s">
        <v>176</v>
      </c>
      <c r="H149" s="2">
        <v>46113</v>
      </c>
      <c r="I149" s="36"/>
      <c r="J149" s="36">
        <v>0</v>
      </c>
      <c r="K149" s="33">
        <f>SUMIFS($J$2:J149,$C$2:C149,C149)</f>
        <v>0</v>
      </c>
    </row>
    <row r="150" spans="1:11" ht="50.1" hidden="1" customHeight="1">
      <c r="A150" s="17">
        <f t="shared" si="2"/>
        <v>13</v>
      </c>
      <c r="B150" s="14" t="s">
        <v>10</v>
      </c>
      <c r="C150" s="1" t="s">
        <v>54</v>
      </c>
      <c r="D150" s="1" t="s">
        <v>55</v>
      </c>
      <c r="E150" t="s">
        <v>56</v>
      </c>
      <c r="F150" t="s">
        <v>53</v>
      </c>
      <c r="G150" s="3" t="s">
        <v>176</v>
      </c>
      <c r="H150" s="2">
        <v>46143</v>
      </c>
      <c r="I150" s="36"/>
      <c r="J150" s="36">
        <v>0</v>
      </c>
      <c r="K150" s="33">
        <f>SUMIFS($J$2:J150,$C$2:C150,C150)</f>
        <v>0</v>
      </c>
    </row>
    <row r="151" spans="1:11" ht="50.1" hidden="1" customHeight="1">
      <c r="A151" s="17">
        <f t="shared" si="2"/>
        <v>13</v>
      </c>
      <c r="B151" s="14" t="s">
        <v>10</v>
      </c>
      <c r="C151" s="1" t="s">
        <v>54</v>
      </c>
      <c r="D151" s="1" t="s">
        <v>55</v>
      </c>
      <c r="E151" t="s">
        <v>56</v>
      </c>
      <c r="F151" t="s">
        <v>53</v>
      </c>
      <c r="G151" s="3" t="s">
        <v>176</v>
      </c>
      <c r="H151" s="2">
        <v>46174</v>
      </c>
      <c r="I151" s="36"/>
      <c r="J151" s="36">
        <v>0</v>
      </c>
      <c r="K151" s="33">
        <f>SUMIFS($J$2:J151,$C$2:C151,C151)</f>
        <v>0</v>
      </c>
    </row>
    <row r="152" spans="1:11" ht="50.1" hidden="1" customHeight="1">
      <c r="A152" s="17">
        <f t="shared" si="2"/>
        <v>13</v>
      </c>
      <c r="B152" s="14" t="s">
        <v>10</v>
      </c>
      <c r="C152" s="1" t="s">
        <v>54</v>
      </c>
      <c r="D152" s="1" t="s">
        <v>55</v>
      </c>
      <c r="E152" t="s">
        <v>56</v>
      </c>
      <c r="F152" t="s">
        <v>53</v>
      </c>
      <c r="G152" s="3" t="s">
        <v>176</v>
      </c>
      <c r="H152" s="2">
        <v>46204</v>
      </c>
      <c r="I152" s="36"/>
      <c r="J152" s="36">
        <v>0</v>
      </c>
      <c r="K152" s="33">
        <f>SUMIFS($J$2:J152,$C$2:C152,C152)</f>
        <v>0</v>
      </c>
    </row>
    <row r="153" spans="1:11" ht="50.1" hidden="1" customHeight="1">
      <c r="A153" s="17">
        <f t="shared" si="2"/>
        <v>13</v>
      </c>
      <c r="B153" s="14" t="s">
        <v>10</v>
      </c>
      <c r="C153" s="1" t="s">
        <v>54</v>
      </c>
      <c r="D153" s="1" t="s">
        <v>55</v>
      </c>
      <c r="E153" t="s">
        <v>56</v>
      </c>
      <c r="F153" t="s">
        <v>53</v>
      </c>
      <c r="G153" s="3" t="s">
        <v>176</v>
      </c>
      <c r="H153" s="2">
        <v>46235</v>
      </c>
      <c r="I153" s="36"/>
      <c r="J153" s="36">
        <v>0</v>
      </c>
      <c r="K153" s="33">
        <f>SUMIFS($J$2:J153,$C$2:C153,C153)</f>
        <v>0</v>
      </c>
    </row>
    <row r="154" spans="1:11" ht="50.1" hidden="1" customHeight="1">
      <c r="A154" s="17">
        <f t="shared" si="2"/>
        <v>13</v>
      </c>
      <c r="B154" s="14" t="s">
        <v>10</v>
      </c>
      <c r="C154" s="1" t="s">
        <v>54</v>
      </c>
      <c r="D154" s="1" t="s">
        <v>55</v>
      </c>
      <c r="E154" t="s">
        <v>56</v>
      </c>
      <c r="F154" t="s">
        <v>53</v>
      </c>
      <c r="G154" s="3" t="s">
        <v>176</v>
      </c>
      <c r="H154" s="2">
        <v>46266</v>
      </c>
      <c r="I154" s="36"/>
      <c r="J154" s="36">
        <v>0</v>
      </c>
      <c r="K154" s="33">
        <f>SUMIFS($J$2:J154,$C$2:C154,C154)</f>
        <v>0</v>
      </c>
    </row>
    <row r="155" spans="1:11" ht="50.1" hidden="1" customHeight="1">
      <c r="A155" s="17">
        <f t="shared" si="2"/>
        <v>13</v>
      </c>
      <c r="B155" s="14" t="s">
        <v>10</v>
      </c>
      <c r="C155" s="1" t="s">
        <v>54</v>
      </c>
      <c r="D155" s="1" t="s">
        <v>55</v>
      </c>
      <c r="E155" t="s">
        <v>56</v>
      </c>
      <c r="F155" t="s">
        <v>53</v>
      </c>
      <c r="G155" s="3" t="s">
        <v>176</v>
      </c>
      <c r="H155" s="2">
        <v>46296</v>
      </c>
      <c r="I155" s="36"/>
      <c r="J155" s="36">
        <v>0</v>
      </c>
      <c r="K155" s="33">
        <f>SUMIFS($J$2:J155,$C$2:C155,C155)</f>
        <v>0</v>
      </c>
    </row>
    <row r="156" spans="1:11" ht="50.1" hidden="1" customHeight="1">
      <c r="A156" s="17">
        <f t="shared" si="2"/>
        <v>13</v>
      </c>
      <c r="B156" s="14" t="s">
        <v>10</v>
      </c>
      <c r="C156" s="1" t="s">
        <v>54</v>
      </c>
      <c r="D156" s="1" t="s">
        <v>55</v>
      </c>
      <c r="E156" t="s">
        <v>56</v>
      </c>
      <c r="F156" t="s">
        <v>53</v>
      </c>
      <c r="G156" s="3" t="s">
        <v>176</v>
      </c>
      <c r="H156" s="2">
        <v>46327</v>
      </c>
      <c r="I156" s="36"/>
      <c r="J156" s="36">
        <v>0</v>
      </c>
      <c r="K156" s="33">
        <f>SUMIFS($J$2:J156,$C$2:C156,C156)</f>
        <v>0</v>
      </c>
    </row>
    <row r="157" spans="1:11" ht="50.1" hidden="1" customHeight="1">
      <c r="A157" s="17">
        <f t="shared" si="2"/>
        <v>13</v>
      </c>
      <c r="B157" s="14" t="s">
        <v>10</v>
      </c>
      <c r="C157" s="1" t="s">
        <v>54</v>
      </c>
      <c r="D157" s="1" t="s">
        <v>55</v>
      </c>
      <c r="E157" t="s">
        <v>56</v>
      </c>
      <c r="F157" t="s">
        <v>53</v>
      </c>
      <c r="G157" s="3" t="s">
        <v>176</v>
      </c>
      <c r="H157" s="2">
        <v>46357</v>
      </c>
      <c r="I157" s="36">
        <v>1</v>
      </c>
      <c r="J157" s="36">
        <v>0</v>
      </c>
      <c r="K157" s="33">
        <f>SUMIFS($J$2:J157,$C$2:C157,C157)</f>
        <v>0</v>
      </c>
    </row>
    <row r="158" spans="1:11" ht="50.1" hidden="1" customHeight="1">
      <c r="A158" s="17">
        <f t="shared" si="2"/>
        <v>14</v>
      </c>
      <c r="B158" s="14" t="s">
        <v>10</v>
      </c>
      <c r="C158" s="1" t="s">
        <v>57</v>
      </c>
      <c r="D158" s="1" t="s">
        <v>58</v>
      </c>
      <c r="E158" t="s">
        <v>59</v>
      </c>
      <c r="F158" t="s">
        <v>53</v>
      </c>
      <c r="G158" s="3" t="s">
        <v>176</v>
      </c>
      <c r="H158" s="2">
        <v>46023</v>
      </c>
      <c r="I158" s="36"/>
      <c r="J158" s="36">
        <v>0</v>
      </c>
      <c r="K158" s="33">
        <f>SUMIFS($J$2:J158,$C$2:C158,C158)</f>
        <v>0</v>
      </c>
    </row>
    <row r="159" spans="1:11" ht="50.1" hidden="1" customHeight="1">
      <c r="A159" s="17">
        <f t="shared" si="2"/>
        <v>14</v>
      </c>
      <c r="B159" s="14" t="s">
        <v>10</v>
      </c>
      <c r="C159" s="1" t="s">
        <v>57</v>
      </c>
      <c r="D159" s="1" t="s">
        <v>58</v>
      </c>
      <c r="E159" t="s">
        <v>59</v>
      </c>
      <c r="F159" t="s">
        <v>53</v>
      </c>
      <c r="G159" s="3" t="s">
        <v>176</v>
      </c>
      <c r="H159" s="2">
        <v>46054</v>
      </c>
      <c r="I159" s="36"/>
      <c r="J159" s="36">
        <v>0</v>
      </c>
      <c r="K159" s="33">
        <f>SUMIFS($J$2:J159,$C$2:C159,C159)</f>
        <v>0</v>
      </c>
    </row>
    <row r="160" spans="1:11" ht="50.1" hidden="1" customHeight="1">
      <c r="A160" s="17">
        <f t="shared" si="2"/>
        <v>14</v>
      </c>
      <c r="B160" s="14" t="s">
        <v>10</v>
      </c>
      <c r="C160" s="1" t="s">
        <v>57</v>
      </c>
      <c r="D160" s="1" t="s">
        <v>58</v>
      </c>
      <c r="E160" t="s">
        <v>59</v>
      </c>
      <c r="F160" t="s">
        <v>53</v>
      </c>
      <c r="G160" s="3" t="s">
        <v>176</v>
      </c>
      <c r="H160" s="2">
        <v>46082</v>
      </c>
      <c r="I160" s="36"/>
      <c r="J160" s="36">
        <v>0</v>
      </c>
      <c r="K160" s="33">
        <f>SUMIFS($J$2:J160,$C$2:C160,C160)</f>
        <v>0</v>
      </c>
    </row>
    <row r="161" spans="1:11" ht="50.1" hidden="1" customHeight="1">
      <c r="A161" s="17">
        <f t="shared" si="2"/>
        <v>14</v>
      </c>
      <c r="B161" s="14" t="s">
        <v>10</v>
      </c>
      <c r="C161" s="1" t="s">
        <v>57</v>
      </c>
      <c r="D161" s="1" t="s">
        <v>58</v>
      </c>
      <c r="E161" t="s">
        <v>59</v>
      </c>
      <c r="F161" t="s">
        <v>53</v>
      </c>
      <c r="G161" s="3" t="s">
        <v>176</v>
      </c>
      <c r="H161" s="2">
        <v>46113</v>
      </c>
      <c r="I161" s="36"/>
      <c r="J161" s="36">
        <v>0</v>
      </c>
      <c r="K161" s="33">
        <f>SUMIFS($J$2:J161,$C$2:C161,C161)</f>
        <v>0</v>
      </c>
    </row>
    <row r="162" spans="1:11" ht="50.1" hidden="1" customHeight="1">
      <c r="A162" s="17">
        <f t="shared" si="2"/>
        <v>14</v>
      </c>
      <c r="B162" s="14" t="s">
        <v>10</v>
      </c>
      <c r="C162" s="1" t="s">
        <v>57</v>
      </c>
      <c r="D162" s="1" t="s">
        <v>58</v>
      </c>
      <c r="E162" t="s">
        <v>59</v>
      </c>
      <c r="F162" t="s">
        <v>53</v>
      </c>
      <c r="G162" s="3" t="s">
        <v>176</v>
      </c>
      <c r="H162" s="2">
        <v>46143</v>
      </c>
      <c r="I162" s="36">
        <v>1</v>
      </c>
      <c r="J162" s="36">
        <v>0</v>
      </c>
      <c r="K162" s="33">
        <f>SUMIFS($J$2:J162,$C$2:C162,C162)</f>
        <v>0</v>
      </c>
    </row>
    <row r="163" spans="1:11" ht="50.1" hidden="1" customHeight="1">
      <c r="A163" s="17">
        <f t="shared" si="2"/>
        <v>14</v>
      </c>
      <c r="B163" s="14" t="s">
        <v>10</v>
      </c>
      <c r="C163" s="1" t="s">
        <v>57</v>
      </c>
      <c r="D163" s="1" t="s">
        <v>58</v>
      </c>
      <c r="E163" t="s">
        <v>59</v>
      </c>
      <c r="F163" t="s">
        <v>53</v>
      </c>
      <c r="G163" s="3" t="s">
        <v>176</v>
      </c>
      <c r="H163" s="2">
        <v>46174</v>
      </c>
      <c r="I163" s="36"/>
      <c r="J163" s="36">
        <v>0</v>
      </c>
      <c r="K163" s="33">
        <f>SUMIFS($J$2:J163,$C$2:C163,C163)</f>
        <v>0</v>
      </c>
    </row>
    <row r="164" spans="1:11" ht="50.1" hidden="1" customHeight="1">
      <c r="A164" s="17">
        <f t="shared" si="2"/>
        <v>14</v>
      </c>
      <c r="B164" s="14" t="s">
        <v>10</v>
      </c>
      <c r="C164" s="1" t="s">
        <v>57</v>
      </c>
      <c r="D164" s="1" t="s">
        <v>58</v>
      </c>
      <c r="E164" t="s">
        <v>59</v>
      </c>
      <c r="F164" t="s">
        <v>53</v>
      </c>
      <c r="G164" s="3" t="s">
        <v>176</v>
      </c>
      <c r="H164" s="2">
        <v>46204</v>
      </c>
      <c r="I164" s="36"/>
      <c r="J164" s="36">
        <v>0</v>
      </c>
      <c r="K164" s="33">
        <f>SUMIFS($J$2:J164,$C$2:C164,C164)</f>
        <v>0</v>
      </c>
    </row>
    <row r="165" spans="1:11" ht="50.1" hidden="1" customHeight="1">
      <c r="A165" s="17">
        <f t="shared" si="2"/>
        <v>14</v>
      </c>
      <c r="B165" s="14" t="s">
        <v>10</v>
      </c>
      <c r="C165" s="1" t="s">
        <v>57</v>
      </c>
      <c r="D165" s="1" t="s">
        <v>58</v>
      </c>
      <c r="E165" t="s">
        <v>59</v>
      </c>
      <c r="F165" t="s">
        <v>53</v>
      </c>
      <c r="G165" s="3" t="s">
        <v>176</v>
      </c>
      <c r="H165" s="2">
        <v>46235</v>
      </c>
      <c r="I165" s="36"/>
      <c r="J165" s="36">
        <v>0</v>
      </c>
      <c r="K165" s="33">
        <f>SUMIFS($J$2:J165,$C$2:C165,C165)</f>
        <v>0</v>
      </c>
    </row>
    <row r="166" spans="1:11" ht="50.1" hidden="1" customHeight="1">
      <c r="A166" s="17">
        <f t="shared" si="2"/>
        <v>14</v>
      </c>
      <c r="B166" s="14" t="s">
        <v>10</v>
      </c>
      <c r="C166" s="1" t="s">
        <v>57</v>
      </c>
      <c r="D166" s="1" t="s">
        <v>58</v>
      </c>
      <c r="E166" t="s">
        <v>59</v>
      </c>
      <c r="F166" t="s">
        <v>53</v>
      </c>
      <c r="G166" s="3" t="s">
        <v>176</v>
      </c>
      <c r="H166" s="2">
        <v>46266</v>
      </c>
      <c r="I166" s="36"/>
      <c r="J166" s="36">
        <v>0</v>
      </c>
      <c r="K166" s="33">
        <f>SUMIFS($J$2:J166,$C$2:C166,C166)</f>
        <v>0</v>
      </c>
    </row>
    <row r="167" spans="1:11" ht="50.1" hidden="1" customHeight="1">
      <c r="A167" s="17">
        <f t="shared" si="2"/>
        <v>14</v>
      </c>
      <c r="B167" s="14" t="s">
        <v>10</v>
      </c>
      <c r="C167" s="1" t="s">
        <v>57</v>
      </c>
      <c r="D167" s="1" t="s">
        <v>58</v>
      </c>
      <c r="E167" t="s">
        <v>59</v>
      </c>
      <c r="F167" t="s">
        <v>53</v>
      </c>
      <c r="G167" s="3" t="s">
        <v>176</v>
      </c>
      <c r="H167" s="2">
        <v>46296</v>
      </c>
      <c r="I167" s="36"/>
      <c r="J167" s="36">
        <v>0</v>
      </c>
      <c r="K167" s="33">
        <f>SUMIFS($J$2:J167,$C$2:C167,C167)</f>
        <v>0</v>
      </c>
    </row>
    <row r="168" spans="1:11" ht="50.1" hidden="1" customHeight="1">
      <c r="A168" s="17">
        <f t="shared" si="2"/>
        <v>14</v>
      </c>
      <c r="B168" s="14" t="s">
        <v>10</v>
      </c>
      <c r="C168" s="1" t="s">
        <v>57</v>
      </c>
      <c r="D168" s="1" t="s">
        <v>58</v>
      </c>
      <c r="E168" t="s">
        <v>59</v>
      </c>
      <c r="F168" t="s">
        <v>53</v>
      </c>
      <c r="G168" s="3" t="s">
        <v>176</v>
      </c>
      <c r="H168" s="2">
        <v>46327</v>
      </c>
      <c r="I168" s="36"/>
      <c r="J168" s="36">
        <v>0</v>
      </c>
      <c r="K168" s="33">
        <f>SUMIFS($J$2:J168,$C$2:C168,C168)</f>
        <v>0</v>
      </c>
    </row>
    <row r="169" spans="1:11" ht="50.1" hidden="1" customHeight="1">
      <c r="A169" s="17">
        <f t="shared" si="2"/>
        <v>14</v>
      </c>
      <c r="B169" s="14" t="s">
        <v>10</v>
      </c>
      <c r="C169" s="1" t="s">
        <v>57</v>
      </c>
      <c r="D169" s="1" t="s">
        <v>58</v>
      </c>
      <c r="E169" t="s">
        <v>59</v>
      </c>
      <c r="F169" t="s">
        <v>53</v>
      </c>
      <c r="G169" s="3" t="s">
        <v>176</v>
      </c>
      <c r="H169" s="2">
        <v>46357</v>
      </c>
      <c r="I169" s="36"/>
      <c r="J169" s="36">
        <v>0</v>
      </c>
      <c r="K169" s="33">
        <f>SUMIFS($J$2:J169,$C$2:C169,C169)</f>
        <v>0</v>
      </c>
    </row>
    <row r="170" spans="1:11" ht="50.1" hidden="1" customHeight="1">
      <c r="A170" s="17">
        <f t="shared" si="2"/>
        <v>15</v>
      </c>
      <c r="B170" s="14" t="s">
        <v>10</v>
      </c>
      <c r="C170" s="1" t="s">
        <v>60</v>
      </c>
      <c r="D170" s="1" t="s">
        <v>61</v>
      </c>
      <c r="E170" t="s">
        <v>62</v>
      </c>
      <c r="F170" t="s">
        <v>63</v>
      </c>
      <c r="G170" s="3" t="s">
        <v>176</v>
      </c>
      <c r="H170" s="2">
        <v>46023</v>
      </c>
      <c r="I170" s="36"/>
      <c r="J170" s="36">
        <v>0</v>
      </c>
      <c r="K170" s="33">
        <f>SUMIFS($J$2:J170,$C$2:C170,C170)</f>
        <v>0</v>
      </c>
    </row>
    <row r="171" spans="1:11" ht="50.1" hidden="1" customHeight="1">
      <c r="A171" s="17">
        <f t="shared" si="2"/>
        <v>15</v>
      </c>
      <c r="B171" s="14" t="s">
        <v>10</v>
      </c>
      <c r="C171" s="1" t="s">
        <v>60</v>
      </c>
      <c r="D171" s="1" t="s">
        <v>61</v>
      </c>
      <c r="E171" t="s">
        <v>62</v>
      </c>
      <c r="F171" t="s">
        <v>63</v>
      </c>
      <c r="G171" s="3" t="s">
        <v>176</v>
      </c>
      <c r="H171" s="2">
        <v>46054</v>
      </c>
      <c r="I171" s="36"/>
      <c r="J171" s="36">
        <v>0</v>
      </c>
      <c r="K171" s="33">
        <f>SUMIFS($J$2:J171,$C$2:C171,C171)</f>
        <v>0</v>
      </c>
    </row>
    <row r="172" spans="1:11" ht="50.1" hidden="1" customHeight="1">
      <c r="A172" s="17">
        <f t="shared" si="2"/>
        <v>15</v>
      </c>
      <c r="B172" s="14" t="s">
        <v>10</v>
      </c>
      <c r="C172" s="1" t="s">
        <v>60</v>
      </c>
      <c r="D172" s="1" t="s">
        <v>61</v>
      </c>
      <c r="E172" t="s">
        <v>62</v>
      </c>
      <c r="F172" t="s">
        <v>63</v>
      </c>
      <c r="G172" s="3" t="s">
        <v>176</v>
      </c>
      <c r="H172" s="2">
        <v>46082</v>
      </c>
      <c r="I172" s="36"/>
      <c r="J172" s="36">
        <v>0</v>
      </c>
      <c r="K172" s="33">
        <f>SUMIFS($J$2:J172,$C$2:C172,C172)</f>
        <v>0</v>
      </c>
    </row>
    <row r="173" spans="1:11" ht="50.1" hidden="1" customHeight="1">
      <c r="A173" s="17">
        <f t="shared" si="2"/>
        <v>15</v>
      </c>
      <c r="B173" s="14" t="s">
        <v>10</v>
      </c>
      <c r="C173" s="1" t="s">
        <v>60</v>
      </c>
      <c r="D173" s="1" t="s">
        <v>61</v>
      </c>
      <c r="E173" t="s">
        <v>62</v>
      </c>
      <c r="F173" t="s">
        <v>63</v>
      </c>
      <c r="G173" s="3" t="s">
        <v>176</v>
      </c>
      <c r="H173" s="2">
        <v>46113</v>
      </c>
      <c r="I173" s="36"/>
      <c r="J173" s="36">
        <v>0</v>
      </c>
      <c r="K173" s="33">
        <f>SUMIFS($J$2:J173,$C$2:C173,C173)</f>
        <v>0</v>
      </c>
    </row>
    <row r="174" spans="1:11" ht="50.1" hidden="1" customHeight="1">
      <c r="A174" s="17">
        <f t="shared" si="2"/>
        <v>15</v>
      </c>
      <c r="B174" s="14" t="s">
        <v>10</v>
      </c>
      <c r="C174" s="1" t="s">
        <v>60</v>
      </c>
      <c r="D174" s="1" t="s">
        <v>61</v>
      </c>
      <c r="E174" t="s">
        <v>62</v>
      </c>
      <c r="F174" t="s">
        <v>63</v>
      </c>
      <c r="G174" s="3" t="s">
        <v>176</v>
      </c>
      <c r="H174" s="2">
        <v>46143</v>
      </c>
      <c r="I174" s="36">
        <v>1</v>
      </c>
      <c r="J174" s="36">
        <v>0</v>
      </c>
      <c r="K174" s="33">
        <f>SUMIFS($J$2:J174,$C$2:C174,C174)</f>
        <v>0</v>
      </c>
    </row>
    <row r="175" spans="1:11" ht="50.1" hidden="1" customHeight="1">
      <c r="A175" s="17">
        <f t="shared" si="2"/>
        <v>15</v>
      </c>
      <c r="B175" s="14" t="s">
        <v>10</v>
      </c>
      <c r="C175" s="1" t="s">
        <v>60</v>
      </c>
      <c r="D175" s="1" t="s">
        <v>61</v>
      </c>
      <c r="E175" t="s">
        <v>62</v>
      </c>
      <c r="F175" t="s">
        <v>63</v>
      </c>
      <c r="G175" s="3" t="s">
        <v>176</v>
      </c>
      <c r="H175" s="2">
        <v>46174</v>
      </c>
      <c r="I175" s="36"/>
      <c r="J175" s="36">
        <v>0</v>
      </c>
      <c r="K175" s="33">
        <f>SUMIFS($J$2:J175,$C$2:C175,C175)</f>
        <v>0</v>
      </c>
    </row>
    <row r="176" spans="1:11" ht="50.1" hidden="1" customHeight="1">
      <c r="A176" s="17">
        <f t="shared" si="2"/>
        <v>15</v>
      </c>
      <c r="B176" s="14" t="s">
        <v>10</v>
      </c>
      <c r="C176" s="1" t="s">
        <v>60</v>
      </c>
      <c r="D176" s="1" t="s">
        <v>61</v>
      </c>
      <c r="E176" t="s">
        <v>62</v>
      </c>
      <c r="F176" t="s">
        <v>63</v>
      </c>
      <c r="G176" s="3" t="s">
        <v>176</v>
      </c>
      <c r="H176" s="2">
        <v>46204</v>
      </c>
      <c r="I176" s="36"/>
      <c r="J176" s="36">
        <v>0</v>
      </c>
      <c r="K176" s="33">
        <f>SUMIFS($J$2:J176,$C$2:C176,C176)</f>
        <v>0</v>
      </c>
    </row>
    <row r="177" spans="1:11" ht="50.1" hidden="1" customHeight="1">
      <c r="A177" s="17">
        <f t="shared" si="2"/>
        <v>15</v>
      </c>
      <c r="B177" s="14" t="s">
        <v>10</v>
      </c>
      <c r="C177" s="1" t="s">
        <v>60</v>
      </c>
      <c r="D177" s="1" t="s">
        <v>61</v>
      </c>
      <c r="E177" t="s">
        <v>62</v>
      </c>
      <c r="F177" t="s">
        <v>63</v>
      </c>
      <c r="G177" s="3" t="s">
        <v>176</v>
      </c>
      <c r="H177" s="2">
        <v>46235</v>
      </c>
      <c r="I177" s="36"/>
      <c r="J177" s="36">
        <v>0</v>
      </c>
      <c r="K177" s="33">
        <f>SUMIFS($J$2:J177,$C$2:C177,C177)</f>
        <v>0</v>
      </c>
    </row>
    <row r="178" spans="1:11" ht="50.1" hidden="1" customHeight="1">
      <c r="A178" s="17">
        <f t="shared" si="2"/>
        <v>15</v>
      </c>
      <c r="B178" s="14" t="s">
        <v>10</v>
      </c>
      <c r="C178" s="1" t="s">
        <v>60</v>
      </c>
      <c r="D178" s="1" t="s">
        <v>61</v>
      </c>
      <c r="E178" t="s">
        <v>62</v>
      </c>
      <c r="F178" t="s">
        <v>63</v>
      </c>
      <c r="G178" s="3" t="s">
        <v>176</v>
      </c>
      <c r="H178" s="2">
        <v>46266</v>
      </c>
      <c r="I178" s="36"/>
      <c r="J178" s="36">
        <v>0</v>
      </c>
      <c r="K178" s="33">
        <f>SUMIFS($J$2:J178,$C$2:C178,C178)</f>
        <v>0</v>
      </c>
    </row>
    <row r="179" spans="1:11" ht="50.1" hidden="1" customHeight="1">
      <c r="A179" s="17">
        <f t="shared" si="2"/>
        <v>15</v>
      </c>
      <c r="B179" s="14" t="s">
        <v>10</v>
      </c>
      <c r="C179" s="1" t="s">
        <v>60</v>
      </c>
      <c r="D179" s="1" t="s">
        <v>61</v>
      </c>
      <c r="E179" t="s">
        <v>62</v>
      </c>
      <c r="F179" t="s">
        <v>63</v>
      </c>
      <c r="G179" s="3" t="s">
        <v>176</v>
      </c>
      <c r="H179" s="2">
        <v>46296</v>
      </c>
      <c r="I179" s="36"/>
      <c r="J179" s="36">
        <v>0</v>
      </c>
      <c r="K179" s="33">
        <f>SUMIFS($J$2:J179,$C$2:C179,C179)</f>
        <v>0</v>
      </c>
    </row>
    <row r="180" spans="1:11" ht="50.1" hidden="1" customHeight="1">
      <c r="A180" s="17">
        <f t="shared" si="2"/>
        <v>15</v>
      </c>
      <c r="B180" s="14" t="s">
        <v>10</v>
      </c>
      <c r="C180" s="1" t="s">
        <v>60</v>
      </c>
      <c r="D180" s="1" t="s">
        <v>61</v>
      </c>
      <c r="E180" t="s">
        <v>62</v>
      </c>
      <c r="F180" t="s">
        <v>63</v>
      </c>
      <c r="G180" s="3" t="s">
        <v>176</v>
      </c>
      <c r="H180" s="2">
        <v>46327</v>
      </c>
      <c r="I180" s="36"/>
      <c r="J180" s="36">
        <v>0</v>
      </c>
      <c r="K180" s="33">
        <f>SUMIFS($J$2:J180,$C$2:C180,C180)</f>
        <v>0</v>
      </c>
    </row>
    <row r="181" spans="1:11" ht="50.1" hidden="1" customHeight="1">
      <c r="A181" s="17">
        <f t="shared" si="2"/>
        <v>15</v>
      </c>
      <c r="B181" s="14" t="s">
        <v>10</v>
      </c>
      <c r="C181" s="1" t="s">
        <v>60</v>
      </c>
      <c r="D181" s="1" t="s">
        <v>61</v>
      </c>
      <c r="E181" t="s">
        <v>62</v>
      </c>
      <c r="F181" t="s">
        <v>63</v>
      </c>
      <c r="G181" s="3" t="s">
        <v>176</v>
      </c>
      <c r="H181" s="2">
        <v>46357</v>
      </c>
      <c r="I181" s="36"/>
      <c r="J181" s="36">
        <v>0</v>
      </c>
      <c r="K181" s="33">
        <f>SUMIFS($J$2:J181,$C$2:C181,C181)</f>
        <v>0</v>
      </c>
    </row>
    <row r="182" spans="1:11" ht="50.1" hidden="1" customHeight="1">
      <c r="A182" s="17">
        <f t="shared" si="2"/>
        <v>16</v>
      </c>
      <c r="B182" s="14" t="s">
        <v>10</v>
      </c>
      <c r="C182" s="1" t="s">
        <v>64</v>
      </c>
      <c r="D182" s="1" t="s">
        <v>65</v>
      </c>
      <c r="E182" t="s">
        <v>66</v>
      </c>
      <c r="F182" t="s">
        <v>63</v>
      </c>
      <c r="G182" s="3" t="s">
        <v>176</v>
      </c>
      <c r="H182" s="2">
        <v>46023</v>
      </c>
      <c r="I182" s="36"/>
      <c r="J182" s="36">
        <v>0</v>
      </c>
      <c r="K182" s="33">
        <f>SUMIFS($J$2:J182,$C$2:C182,C182)</f>
        <v>0</v>
      </c>
    </row>
    <row r="183" spans="1:11" ht="50.1" hidden="1" customHeight="1">
      <c r="A183" s="17">
        <f t="shared" si="2"/>
        <v>16</v>
      </c>
      <c r="B183" s="14" t="s">
        <v>10</v>
      </c>
      <c r="C183" s="1" t="s">
        <v>64</v>
      </c>
      <c r="D183" s="1" t="s">
        <v>65</v>
      </c>
      <c r="E183" t="s">
        <v>66</v>
      </c>
      <c r="F183" t="s">
        <v>63</v>
      </c>
      <c r="G183" s="3" t="s">
        <v>176</v>
      </c>
      <c r="H183" s="2">
        <v>46054</v>
      </c>
      <c r="I183" s="36"/>
      <c r="J183" s="36">
        <v>0</v>
      </c>
      <c r="K183" s="33">
        <f>SUMIFS($J$2:J183,$C$2:C183,C183)</f>
        <v>0</v>
      </c>
    </row>
    <row r="184" spans="1:11" ht="50.1" hidden="1" customHeight="1">
      <c r="A184" s="17">
        <f t="shared" si="2"/>
        <v>16</v>
      </c>
      <c r="B184" s="14" t="s">
        <v>10</v>
      </c>
      <c r="C184" s="1" t="s">
        <v>64</v>
      </c>
      <c r="D184" s="1" t="s">
        <v>65</v>
      </c>
      <c r="E184" t="s">
        <v>66</v>
      </c>
      <c r="F184" t="s">
        <v>63</v>
      </c>
      <c r="G184" s="3" t="s">
        <v>176</v>
      </c>
      <c r="H184" s="2">
        <v>46082</v>
      </c>
      <c r="I184" s="36"/>
      <c r="J184" s="36">
        <v>0</v>
      </c>
      <c r="K184" s="33">
        <f>SUMIFS($J$2:J184,$C$2:C184,C184)</f>
        <v>0</v>
      </c>
    </row>
    <row r="185" spans="1:11" ht="50.1" hidden="1" customHeight="1">
      <c r="A185" s="17">
        <f t="shared" si="2"/>
        <v>16</v>
      </c>
      <c r="B185" s="14" t="s">
        <v>10</v>
      </c>
      <c r="C185" s="1" t="s">
        <v>64</v>
      </c>
      <c r="D185" s="1" t="s">
        <v>65</v>
      </c>
      <c r="E185" t="s">
        <v>66</v>
      </c>
      <c r="F185" t="s">
        <v>63</v>
      </c>
      <c r="G185" s="3" t="s">
        <v>176</v>
      </c>
      <c r="H185" s="2">
        <v>46113</v>
      </c>
      <c r="I185" s="36"/>
      <c r="J185" s="36">
        <v>0</v>
      </c>
      <c r="K185" s="33">
        <f>SUMIFS($J$2:J185,$C$2:C185,C185)</f>
        <v>0</v>
      </c>
    </row>
    <row r="186" spans="1:11" ht="50.1" hidden="1" customHeight="1">
      <c r="A186" s="17">
        <f t="shared" si="2"/>
        <v>16</v>
      </c>
      <c r="B186" s="14" t="s">
        <v>10</v>
      </c>
      <c r="C186" s="1" t="s">
        <v>64</v>
      </c>
      <c r="D186" s="1" t="s">
        <v>65</v>
      </c>
      <c r="E186" t="s">
        <v>66</v>
      </c>
      <c r="F186" t="s">
        <v>63</v>
      </c>
      <c r="G186" s="3" t="s">
        <v>176</v>
      </c>
      <c r="H186" s="2">
        <v>46143</v>
      </c>
      <c r="I186" s="36"/>
      <c r="J186" s="36">
        <v>0</v>
      </c>
      <c r="K186" s="33">
        <f>SUMIFS($J$2:J186,$C$2:C186,C186)</f>
        <v>0</v>
      </c>
    </row>
    <row r="187" spans="1:11" ht="50.1" hidden="1" customHeight="1">
      <c r="A187" s="17">
        <f t="shared" si="2"/>
        <v>16</v>
      </c>
      <c r="B187" s="14" t="s">
        <v>10</v>
      </c>
      <c r="C187" s="1" t="s">
        <v>64</v>
      </c>
      <c r="D187" s="1" t="s">
        <v>65</v>
      </c>
      <c r="E187" t="s">
        <v>66</v>
      </c>
      <c r="F187" t="s">
        <v>63</v>
      </c>
      <c r="G187" s="3" t="s">
        <v>176</v>
      </c>
      <c r="H187" s="2">
        <v>46174</v>
      </c>
      <c r="I187" s="36"/>
      <c r="J187" s="36">
        <v>0</v>
      </c>
      <c r="K187" s="33">
        <f>SUMIFS($J$2:J187,$C$2:C187,C187)</f>
        <v>0</v>
      </c>
    </row>
    <row r="188" spans="1:11" ht="50.1" hidden="1" customHeight="1">
      <c r="A188" s="17">
        <f t="shared" si="2"/>
        <v>16</v>
      </c>
      <c r="B188" s="14" t="s">
        <v>10</v>
      </c>
      <c r="C188" s="1" t="s">
        <v>64</v>
      </c>
      <c r="D188" s="1" t="s">
        <v>65</v>
      </c>
      <c r="E188" t="s">
        <v>66</v>
      </c>
      <c r="F188" t="s">
        <v>63</v>
      </c>
      <c r="G188" s="3" t="s">
        <v>176</v>
      </c>
      <c r="H188" s="2">
        <v>46204</v>
      </c>
      <c r="I188" s="36"/>
      <c r="J188" s="36">
        <v>0</v>
      </c>
      <c r="K188" s="33">
        <f>SUMIFS($J$2:J188,$C$2:C188,C188)</f>
        <v>0</v>
      </c>
    </row>
    <row r="189" spans="1:11" ht="50.1" hidden="1" customHeight="1">
      <c r="A189" s="17">
        <f t="shared" si="2"/>
        <v>16</v>
      </c>
      <c r="B189" s="14" t="s">
        <v>10</v>
      </c>
      <c r="C189" s="1" t="s">
        <v>64</v>
      </c>
      <c r="D189" s="1" t="s">
        <v>65</v>
      </c>
      <c r="E189" t="s">
        <v>66</v>
      </c>
      <c r="F189" t="s">
        <v>63</v>
      </c>
      <c r="G189" s="3" t="s">
        <v>176</v>
      </c>
      <c r="H189" s="2">
        <v>46235</v>
      </c>
      <c r="I189" s="36"/>
      <c r="J189" s="36">
        <v>0</v>
      </c>
      <c r="K189" s="33">
        <f>SUMIFS($J$2:J189,$C$2:C189,C189)</f>
        <v>0</v>
      </c>
    </row>
    <row r="190" spans="1:11" ht="50.1" hidden="1" customHeight="1">
      <c r="A190" s="17">
        <f t="shared" si="2"/>
        <v>16</v>
      </c>
      <c r="B190" s="14" t="s">
        <v>10</v>
      </c>
      <c r="C190" s="1" t="s">
        <v>64</v>
      </c>
      <c r="D190" s="1" t="s">
        <v>65</v>
      </c>
      <c r="E190" t="s">
        <v>66</v>
      </c>
      <c r="F190" t="s">
        <v>63</v>
      </c>
      <c r="G190" s="3" t="s">
        <v>176</v>
      </c>
      <c r="H190" s="2">
        <v>46266</v>
      </c>
      <c r="I190" s="36">
        <v>0.5</v>
      </c>
      <c r="J190" s="36">
        <v>0</v>
      </c>
      <c r="K190" s="33">
        <f>SUMIFS($J$2:J190,$C$2:C190,C190)</f>
        <v>0</v>
      </c>
    </row>
    <row r="191" spans="1:11" ht="50.1" hidden="1" customHeight="1">
      <c r="A191" s="17">
        <f t="shared" si="2"/>
        <v>16</v>
      </c>
      <c r="B191" s="14" t="s">
        <v>10</v>
      </c>
      <c r="C191" s="1" t="s">
        <v>64</v>
      </c>
      <c r="D191" s="1" t="s">
        <v>65</v>
      </c>
      <c r="E191" t="s">
        <v>66</v>
      </c>
      <c r="F191" t="s">
        <v>63</v>
      </c>
      <c r="G191" s="3" t="s">
        <v>176</v>
      </c>
      <c r="H191" s="2">
        <v>46296</v>
      </c>
      <c r="I191" s="36">
        <v>0.4</v>
      </c>
      <c r="J191" s="36">
        <v>0</v>
      </c>
      <c r="K191" s="33">
        <f>SUMIFS($J$2:J191,$C$2:C191,C191)</f>
        <v>0</v>
      </c>
    </row>
    <row r="192" spans="1:11" ht="50.1" hidden="1" customHeight="1">
      <c r="A192" s="17">
        <f t="shared" si="2"/>
        <v>16</v>
      </c>
      <c r="B192" s="14" t="s">
        <v>10</v>
      </c>
      <c r="C192" s="1" t="s">
        <v>64</v>
      </c>
      <c r="D192" s="1" t="s">
        <v>65</v>
      </c>
      <c r="E192" t="s">
        <v>66</v>
      </c>
      <c r="F192" t="s">
        <v>63</v>
      </c>
      <c r="G192" s="3" t="s">
        <v>176</v>
      </c>
      <c r="H192" s="2">
        <v>46327</v>
      </c>
      <c r="I192" s="36">
        <v>0.1</v>
      </c>
      <c r="J192" s="36">
        <v>0</v>
      </c>
      <c r="K192" s="33">
        <f>SUMIFS($J$2:J192,$C$2:C192,C192)</f>
        <v>0</v>
      </c>
    </row>
    <row r="193" spans="1:11" ht="50.1" hidden="1" customHeight="1">
      <c r="A193" s="17">
        <f t="shared" si="2"/>
        <v>16</v>
      </c>
      <c r="B193" s="14" t="s">
        <v>10</v>
      </c>
      <c r="C193" s="1" t="s">
        <v>64</v>
      </c>
      <c r="D193" s="1" t="s">
        <v>65</v>
      </c>
      <c r="E193" t="s">
        <v>66</v>
      </c>
      <c r="F193" t="s">
        <v>63</v>
      </c>
      <c r="G193" s="3" t="s">
        <v>176</v>
      </c>
      <c r="H193" s="2">
        <v>46357</v>
      </c>
      <c r="I193" s="36"/>
      <c r="J193" s="36">
        <v>0</v>
      </c>
      <c r="K193" s="33">
        <f>SUMIFS($J$2:J193,$C$2:C193,C193)</f>
        <v>0</v>
      </c>
    </row>
    <row r="194" spans="1:11" ht="50.1" hidden="1" customHeight="1">
      <c r="A194" s="17">
        <f t="shared" si="2"/>
        <v>17</v>
      </c>
      <c r="B194" s="14" t="s">
        <v>10</v>
      </c>
      <c r="C194" s="1" t="s">
        <v>67</v>
      </c>
      <c r="D194" s="1" t="s">
        <v>68</v>
      </c>
      <c r="E194" t="s">
        <v>56</v>
      </c>
      <c r="F194" t="s">
        <v>63</v>
      </c>
      <c r="G194" s="3" t="s">
        <v>176</v>
      </c>
      <c r="H194" s="2">
        <v>46023</v>
      </c>
      <c r="I194" s="36"/>
      <c r="J194" s="36">
        <v>0</v>
      </c>
      <c r="K194" s="33">
        <f>SUMIFS($J$2:J194,$C$2:C194,C194)</f>
        <v>0</v>
      </c>
    </row>
    <row r="195" spans="1:11" ht="50.1" hidden="1" customHeight="1">
      <c r="A195" s="17">
        <f t="shared" ref="A195:A258" si="3">INT((ROW(A195)-2)/12)+1</f>
        <v>17</v>
      </c>
      <c r="B195" s="14" t="s">
        <v>10</v>
      </c>
      <c r="C195" s="1" t="s">
        <v>67</v>
      </c>
      <c r="D195" s="1" t="s">
        <v>68</v>
      </c>
      <c r="E195" t="s">
        <v>56</v>
      </c>
      <c r="F195" t="s">
        <v>63</v>
      </c>
      <c r="G195" s="3" t="s">
        <v>176</v>
      </c>
      <c r="H195" s="2">
        <v>46054</v>
      </c>
      <c r="I195" s="36"/>
      <c r="J195" s="36">
        <v>0</v>
      </c>
      <c r="K195" s="33">
        <f>SUMIFS($J$2:J195,$C$2:C195,C195)</f>
        <v>0</v>
      </c>
    </row>
    <row r="196" spans="1:11" ht="50.1" hidden="1" customHeight="1">
      <c r="A196" s="17">
        <f t="shared" si="3"/>
        <v>17</v>
      </c>
      <c r="B196" s="14" t="s">
        <v>10</v>
      </c>
      <c r="C196" s="1" t="s">
        <v>67</v>
      </c>
      <c r="D196" s="1" t="s">
        <v>68</v>
      </c>
      <c r="E196" t="s">
        <v>56</v>
      </c>
      <c r="F196" t="s">
        <v>63</v>
      </c>
      <c r="G196" s="3" t="s">
        <v>176</v>
      </c>
      <c r="H196" s="2">
        <v>46082</v>
      </c>
      <c r="I196" s="36"/>
      <c r="J196" s="36">
        <v>0</v>
      </c>
      <c r="K196" s="33">
        <f>SUMIFS($J$2:J196,$C$2:C196,C196)</f>
        <v>0</v>
      </c>
    </row>
    <row r="197" spans="1:11" ht="50.1" hidden="1" customHeight="1">
      <c r="A197" s="17">
        <f t="shared" si="3"/>
        <v>17</v>
      </c>
      <c r="B197" s="14" t="s">
        <v>10</v>
      </c>
      <c r="C197" s="1" t="s">
        <v>67</v>
      </c>
      <c r="D197" s="1" t="s">
        <v>68</v>
      </c>
      <c r="E197" t="s">
        <v>56</v>
      </c>
      <c r="F197" t="s">
        <v>63</v>
      </c>
      <c r="G197" s="3" t="s">
        <v>176</v>
      </c>
      <c r="H197" s="2">
        <v>46113</v>
      </c>
      <c r="I197" s="36"/>
      <c r="J197" s="36">
        <v>0</v>
      </c>
      <c r="K197" s="33">
        <f>SUMIFS($J$2:J197,$C$2:C197,C197)</f>
        <v>0</v>
      </c>
    </row>
    <row r="198" spans="1:11" ht="50.1" hidden="1" customHeight="1">
      <c r="A198" s="17">
        <f t="shared" si="3"/>
        <v>17</v>
      </c>
      <c r="B198" s="14" t="s">
        <v>10</v>
      </c>
      <c r="C198" s="1" t="s">
        <v>67</v>
      </c>
      <c r="D198" s="1" t="s">
        <v>68</v>
      </c>
      <c r="E198" t="s">
        <v>56</v>
      </c>
      <c r="F198" t="s">
        <v>63</v>
      </c>
      <c r="G198" s="3" t="s">
        <v>176</v>
      </c>
      <c r="H198" s="2">
        <v>46143</v>
      </c>
      <c r="I198" s="36"/>
      <c r="J198" s="36">
        <v>0</v>
      </c>
      <c r="K198" s="33">
        <f>SUMIFS($J$2:J198,$C$2:C198,C198)</f>
        <v>0</v>
      </c>
    </row>
    <row r="199" spans="1:11" ht="50.1" hidden="1" customHeight="1">
      <c r="A199" s="17">
        <f t="shared" si="3"/>
        <v>17</v>
      </c>
      <c r="B199" s="14" t="s">
        <v>10</v>
      </c>
      <c r="C199" s="1" t="s">
        <v>67</v>
      </c>
      <c r="D199" s="1" t="s">
        <v>68</v>
      </c>
      <c r="E199" t="s">
        <v>56</v>
      </c>
      <c r="F199" t="s">
        <v>63</v>
      </c>
      <c r="G199" s="3" t="s">
        <v>176</v>
      </c>
      <c r="H199" s="2">
        <v>46174</v>
      </c>
      <c r="I199" s="36"/>
      <c r="J199" s="36">
        <v>0</v>
      </c>
      <c r="K199" s="33">
        <f>SUMIFS($J$2:J199,$C$2:C199,C199)</f>
        <v>0</v>
      </c>
    </row>
    <row r="200" spans="1:11" ht="50.1" hidden="1" customHeight="1">
      <c r="A200" s="17">
        <f t="shared" si="3"/>
        <v>17</v>
      </c>
      <c r="B200" s="14" t="s">
        <v>10</v>
      </c>
      <c r="C200" s="1" t="s">
        <v>67</v>
      </c>
      <c r="D200" s="1" t="s">
        <v>68</v>
      </c>
      <c r="E200" t="s">
        <v>56</v>
      </c>
      <c r="F200" t="s">
        <v>63</v>
      </c>
      <c r="G200" s="3" t="s">
        <v>176</v>
      </c>
      <c r="H200" s="2">
        <v>46204</v>
      </c>
      <c r="I200" s="36"/>
      <c r="J200" s="36">
        <v>0</v>
      </c>
      <c r="K200" s="33">
        <f>SUMIFS($J$2:J200,$C$2:C200,C200)</f>
        <v>0</v>
      </c>
    </row>
    <row r="201" spans="1:11" ht="50.1" hidden="1" customHeight="1">
      <c r="A201" s="17">
        <f t="shared" si="3"/>
        <v>17</v>
      </c>
      <c r="B201" s="14" t="s">
        <v>10</v>
      </c>
      <c r="C201" s="1" t="s">
        <v>67</v>
      </c>
      <c r="D201" s="1" t="s">
        <v>68</v>
      </c>
      <c r="E201" t="s">
        <v>56</v>
      </c>
      <c r="F201" t="s">
        <v>63</v>
      </c>
      <c r="G201" s="3" t="s">
        <v>176</v>
      </c>
      <c r="H201" s="2">
        <v>46235</v>
      </c>
      <c r="I201" s="36"/>
      <c r="J201" s="36">
        <v>0</v>
      </c>
      <c r="K201" s="33">
        <f>SUMIFS($J$2:J201,$C$2:C201,C201)</f>
        <v>0</v>
      </c>
    </row>
    <row r="202" spans="1:11" ht="50.1" hidden="1" customHeight="1">
      <c r="A202" s="17">
        <f t="shared" si="3"/>
        <v>17</v>
      </c>
      <c r="B202" s="14" t="s">
        <v>10</v>
      </c>
      <c r="C202" s="1" t="s">
        <v>67</v>
      </c>
      <c r="D202" s="1" t="s">
        <v>68</v>
      </c>
      <c r="E202" t="s">
        <v>56</v>
      </c>
      <c r="F202" t="s">
        <v>63</v>
      </c>
      <c r="G202" s="3" t="s">
        <v>176</v>
      </c>
      <c r="H202" s="2">
        <v>46266</v>
      </c>
      <c r="I202" s="36"/>
      <c r="J202" s="36">
        <v>0</v>
      </c>
      <c r="K202" s="33">
        <f>SUMIFS($J$2:J202,$C$2:C202,C202)</f>
        <v>0</v>
      </c>
    </row>
    <row r="203" spans="1:11" ht="50.1" hidden="1" customHeight="1">
      <c r="A203" s="17">
        <f t="shared" si="3"/>
        <v>17</v>
      </c>
      <c r="B203" s="14" t="s">
        <v>10</v>
      </c>
      <c r="C203" s="1" t="s">
        <v>67</v>
      </c>
      <c r="D203" s="1" t="s">
        <v>68</v>
      </c>
      <c r="E203" t="s">
        <v>56</v>
      </c>
      <c r="F203" t="s">
        <v>63</v>
      </c>
      <c r="G203" s="3" t="s">
        <v>176</v>
      </c>
      <c r="H203" s="2">
        <v>46296</v>
      </c>
      <c r="I203" s="36"/>
      <c r="J203" s="36">
        <v>0</v>
      </c>
      <c r="K203" s="33">
        <f>SUMIFS($J$2:J203,$C$2:C203,C203)</f>
        <v>0</v>
      </c>
    </row>
    <row r="204" spans="1:11" ht="50.1" hidden="1" customHeight="1">
      <c r="A204" s="17">
        <f t="shared" si="3"/>
        <v>17</v>
      </c>
      <c r="B204" s="14" t="s">
        <v>10</v>
      </c>
      <c r="C204" s="1" t="s">
        <v>67</v>
      </c>
      <c r="D204" s="1" t="s">
        <v>68</v>
      </c>
      <c r="E204" t="s">
        <v>56</v>
      </c>
      <c r="F204" t="s">
        <v>63</v>
      </c>
      <c r="G204" s="3" t="s">
        <v>176</v>
      </c>
      <c r="H204" s="2">
        <v>46327</v>
      </c>
      <c r="I204" s="36"/>
      <c r="J204" s="36">
        <v>0</v>
      </c>
      <c r="K204" s="33">
        <f>SUMIFS($J$2:J204,$C$2:C204,C204)</f>
        <v>0</v>
      </c>
    </row>
    <row r="205" spans="1:11" ht="50.1" hidden="1" customHeight="1">
      <c r="A205" s="17">
        <f t="shared" si="3"/>
        <v>17</v>
      </c>
      <c r="B205" s="14" t="s">
        <v>10</v>
      </c>
      <c r="C205" s="1" t="s">
        <v>67</v>
      </c>
      <c r="D205" s="1" t="s">
        <v>68</v>
      </c>
      <c r="E205" t="s">
        <v>56</v>
      </c>
      <c r="F205" t="s">
        <v>63</v>
      </c>
      <c r="G205" s="3" t="s">
        <v>176</v>
      </c>
      <c r="H205" s="2">
        <v>46357</v>
      </c>
      <c r="I205" s="36">
        <v>1</v>
      </c>
      <c r="J205" s="36">
        <v>0</v>
      </c>
      <c r="K205" s="33">
        <f>SUMIFS($J$2:J205,$C$2:C205,C205)</f>
        <v>0</v>
      </c>
    </row>
    <row r="206" spans="1:11" ht="75">
      <c r="A206" s="17">
        <f t="shared" si="3"/>
        <v>18</v>
      </c>
      <c r="B206" s="14" t="s">
        <v>12</v>
      </c>
      <c r="C206" s="1" t="s">
        <v>196</v>
      </c>
      <c r="D206" s="1" t="s">
        <v>195</v>
      </c>
      <c r="F206" t="s">
        <v>69</v>
      </c>
      <c r="G206" s="3" t="s">
        <v>176</v>
      </c>
      <c r="H206" s="2">
        <v>46023</v>
      </c>
      <c r="I206" s="36">
        <v>0.7</v>
      </c>
      <c r="J206" s="36">
        <v>1</v>
      </c>
      <c r="K206" s="33">
        <v>1</v>
      </c>
    </row>
    <row r="207" spans="1:11" ht="75">
      <c r="A207" s="17">
        <f t="shared" si="3"/>
        <v>18</v>
      </c>
      <c r="B207" s="14" t="s">
        <v>12</v>
      </c>
      <c r="C207" s="1" t="s">
        <v>196</v>
      </c>
      <c r="D207" s="1" t="s">
        <v>195</v>
      </c>
      <c r="F207" t="s">
        <v>69</v>
      </c>
      <c r="G207" s="3" t="s">
        <v>176</v>
      </c>
      <c r="H207" s="2">
        <v>46054</v>
      </c>
      <c r="I207" s="36">
        <v>0.7</v>
      </c>
      <c r="J207" s="36">
        <v>0</v>
      </c>
      <c r="K207" s="33">
        <v>1</v>
      </c>
    </row>
    <row r="208" spans="1:11" ht="75">
      <c r="A208" s="17">
        <f t="shared" si="3"/>
        <v>18</v>
      </c>
      <c r="B208" s="14" t="s">
        <v>12</v>
      </c>
      <c r="C208" s="1" t="s">
        <v>196</v>
      </c>
      <c r="D208" s="1" t="s">
        <v>195</v>
      </c>
      <c r="F208" t="s">
        <v>69</v>
      </c>
      <c r="G208" s="3" t="s">
        <v>176</v>
      </c>
      <c r="H208" s="2">
        <v>46082</v>
      </c>
      <c r="I208" s="36">
        <v>0.7</v>
      </c>
      <c r="J208" s="36">
        <v>0.62</v>
      </c>
      <c r="K208" s="33">
        <v>0.77</v>
      </c>
    </row>
    <row r="209" spans="1:11" ht="75">
      <c r="A209" s="17">
        <f t="shared" si="3"/>
        <v>18</v>
      </c>
      <c r="B209" s="14" t="s">
        <v>12</v>
      </c>
      <c r="C209" s="1" t="s">
        <v>196</v>
      </c>
      <c r="D209" s="1" t="s">
        <v>195</v>
      </c>
      <c r="F209" t="s">
        <v>69</v>
      </c>
      <c r="G209" s="3" t="s">
        <v>176</v>
      </c>
      <c r="H209" s="2">
        <v>46113</v>
      </c>
      <c r="I209" s="36">
        <v>0.7</v>
      </c>
      <c r="J209" s="36">
        <v>0.75</v>
      </c>
      <c r="K209" s="33">
        <v>0.77</v>
      </c>
    </row>
    <row r="210" spans="1:11" ht="75">
      <c r="A210" s="17">
        <f t="shared" si="3"/>
        <v>18</v>
      </c>
      <c r="B210" s="14" t="s">
        <v>12</v>
      </c>
      <c r="C210" s="1" t="s">
        <v>196</v>
      </c>
      <c r="D210" s="1" t="s">
        <v>195</v>
      </c>
      <c r="F210" t="s">
        <v>69</v>
      </c>
      <c r="G210" s="3" t="s">
        <v>176</v>
      </c>
      <c r="H210" s="2">
        <v>46143</v>
      </c>
      <c r="I210" s="36">
        <v>0.7</v>
      </c>
      <c r="J210" s="36">
        <v>0</v>
      </c>
      <c r="K210" s="33"/>
    </row>
    <row r="211" spans="1:11" ht="75">
      <c r="A211" s="17">
        <f t="shared" si="3"/>
        <v>18</v>
      </c>
      <c r="B211" s="14" t="s">
        <v>12</v>
      </c>
      <c r="C211" s="1" t="s">
        <v>196</v>
      </c>
      <c r="D211" s="1" t="s">
        <v>195</v>
      </c>
      <c r="F211" t="s">
        <v>69</v>
      </c>
      <c r="G211" s="3" t="s">
        <v>176</v>
      </c>
      <c r="H211" s="2">
        <v>46174</v>
      </c>
      <c r="I211" s="36">
        <v>0.7</v>
      </c>
      <c r="J211" s="36">
        <v>0</v>
      </c>
      <c r="K211" s="33"/>
    </row>
    <row r="212" spans="1:11" ht="75">
      <c r="A212" s="17">
        <f t="shared" si="3"/>
        <v>18</v>
      </c>
      <c r="B212" s="14" t="s">
        <v>12</v>
      </c>
      <c r="C212" s="1" t="s">
        <v>196</v>
      </c>
      <c r="D212" s="1" t="s">
        <v>195</v>
      </c>
      <c r="F212" t="s">
        <v>69</v>
      </c>
      <c r="G212" s="3" t="s">
        <v>176</v>
      </c>
      <c r="H212" s="2">
        <v>46204</v>
      </c>
      <c r="I212" s="36">
        <v>0.7</v>
      </c>
      <c r="J212" s="36">
        <v>0</v>
      </c>
      <c r="K212" s="33"/>
    </row>
    <row r="213" spans="1:11" ht="75">
      <c r="A213" s="17">
        <f t="shared" si="3"/>
        <v>18</v>
      </c>
      <c r="B213" s="14" t="s">
        <v>12</v>
      </c>
      <c r="C213" s="1" t="s">
        <v>196</v>
      </c>
      <c r="D213" s="1" t="s">
        <v>195</v>
      </c>
      <c r="F213" t="s">
        <v>69</v>
      </c>
      <c r="G213" s="3" t="s">
        <v>176</v>
      </c>
      <c r="H213" s="2">
        <v>46235</v>
      </c>
      <c r="I213" s="36">
        <v>0.7</v>
      </c>
      <c r="J213" s="36">
        <v>0</v>
      </c>
      <c r="K213" s="33"/>
    </row>
    <row r="214" spans="1:11" ht="75">
      <c r="A214" s="17">
        <f t="shared" si="3"/>
        <v>18</v>
      </c>
      <c r="B214" s="14" t="s">
        <v>12</v>
      </c>
      <c r="C214" s="1" t="s">
        <v>196</v>
      </c>
      <c r="D214" s="1" t="s">
        <v>195</v>
      </c>
      <c r="F214" t="s">
        <v>69</v>
      </c>
      <c r="G214" s="3" t="s">
        <v>176</v>
      </c>
      <c r="H214" s="2">
        <v>46266</v>
      </c>
      <c r="I214" s="36">
        <v>0.7</v>
      </c>
      <c r="J214" s="36">
        <v>0</v>
      </c>
      <c r="K214" s="33"/>
    </row>
    <row r="215" spans="1:11" ht="75">
      <c r="A215" s="17">
        <f t="shared" si="3"/>
        <v>18</v>
      </c>
      <c r="B215" s="14" t="s">
        <v>12</v>
      </c>
      <c r="C215" s="1" t="s">
        <v>196</v>
      </c>
      <c r="D215" s="1" t="s">
        <v>195</v>
      </c>
      <c r="F215" t="s">
        <v>69</v>
      </c>
      <c r="G215" s="3" t="s">
        <v>176</v>
      </c>
      <c r="H215" s="2">
        <v>46296</v>
      </c>
      <c r="I215" s="36">
        <v>0.7</v>
      </c>
      <c r="J215" s="36">
        <v>0</v>
      </c>
      <c r="K215" s="33"/>
    </row>
    <row r="216" spans="1:11" ht="75">
      <c r="A216" s="17">
        <f t="shared" si="3"/>
        <v>18</v>
      </c>
      <c r="B216" s="14" t="s">
        <v>12</v>
      </c>
      <c r="C216" s="1" t="s">
        <v>196</v>
      </c>
      <c r="D216" s="1" t="s">
        <v>195</v>
      </c>
      <c r="F216" t="s">
        <v>69</v>
      </c>
      <c r="G216" s="3" t="s">
        <v>176</v>
      </c>
      <c r="H216" s="2">
        <v>46327</v>
      </c>
      <c r="I216" s="36">
        <v>0.7</v>
      </c>
      <c r="J216" s="36">
        <v>0</v>
      </c>
      <c r="K216" s="33"/>
    </row>
    <row r="217" spans="1:11" ht="75">
      <c r="A217" s="17">
        <f t="shared" si="3"/>
        <v>18</v>
      </c>
      <c r="B217" s="14" t="s">
        <v>12</v>
      </c>
      <c r="C217" s="1" t="s">
        <v>196</v>
      </c>
      <c r="D217" s="1" t="s">
        <v>195</v>
      </c>
      <c r="F217" t="s">
        <v>69</v>
      </c>
      <c r="G217" s="3" t="s">
        <v>176</v>
      </c>
      <c r="H217" s="2">
        <v>46357</v>
      </c>
      <c r="I217" s="36">
        <v>0.7</v>
      </c>
      <c r="J217" s="36">
        <v>0</v>
      </c>
      <c r="K217" s="33"/>
    </row>
    <row r="218" spans="1:11" ht="60">
      <c r="A218" s="17">
        <f t="shared" si="3"/>
        <v>19</v>
      </c>
      <c r="B218" s="14" t="s">
        <v>11</v>
      </c>
      <c r="C218" s="1" t="s">
        <v>70</v>
      </c>
      <c r="D218" s="1" t="s">
        <v>71</v>
      </c>
      <c r="F218" t="s">
        <v>72</v>
      </c>
      <c r="G218" s="3" t="s">
        <v>176</v>
      </c>
      <c r="H218" s="2">
        <v>46023</v>
      </c>
      <c r="I218" s="36">
        <v>0.7</v>
      </c>
      <c r="J218" s="36">
        <v>0</v>
      </c>
      <c r="K218" s="33">
        <f>SUMIFS($J$2:J218,$C$2:C218,C218)</f>
        <v>0</v>
      </c>
    </row>
    <row r="219" spans="1:11" ht="60">
      <c r="A219" s="17">
        <f t="shared" si="3"/>
        <v>19</v>
      </c>
      <c r="B219" s="14" t="s">
        <v>11</v>
      </c>
      <c r="C219" s="1" t="s">
        <v>70</v>
      </c>
      <c r="D219" s="1" t="s">
        <v>71</v>
      </c>
      <c r="F219" t="s">
        <v>72</v>
      </c>
      <c r="G219" s="3" t="s">
        <v>176</v>
      </c>
      <c r="H219" s="2">
        <v>46054</v>
      </c>
      <c r="I219" s="36">
        <v>0.7</v>
      </c>
      <c r="J219" s="36">
        <v>0</v>
      </c>
      <c r="K219" s="33">
        <f>SUMIFS($J$2:J219,$C$2:C219,C219)</f>
        <v>0</v>
      </c>
    </row>
    <row r="220" spans="1:11" ht="60">
      <c r="A220" s="17">
        <f t="shared" si="3"/>
        <v>19</v>
      </c>
      <c r="B220" s="14" t="s">
        <v>11</v>
      </c>
      <c r="C220" s="1" t="s">
        <v>70</v>
      </c>
      <c r="D220" s="1" t="s">
        <v>71</v>
      </c>
      <c r="F220" t="s">
        <v>72</v>
      </c>
      <c r="G220" s="3" t="s">
        <v>176</v>
      </c>
      <c r="H220" s="2">
        <v>46082</v>
      </c>
      <c r="I220" s="36">
        <v>0.7</v>
      </c>
      <c r="J220" s="36">
        <v>0</v>
      </c>
      <c r="K220" s="33">
        <f>SUMIFS($J$2:J220,$C$2:C220,C220)</f>
        <v>0</v>
      </c>
    </row>
    <row r="221" spans="1:11" ht="60">
      <c r="A221" s="17">
        <f t="shared" si="3"/>
        <v>19</v>
      </c>
      <c r="B221" s="14" t="s">
        <v>11</v>
      </c>
      <c r="C221" s="1" t="s">
        <v>70</v>
      </c>
      <c r="D221" s="1" t="s">
        <v>71</v>
      </c>
      <c r="F221" t="s">
        <v>72</v>
      </c>
      <c r="G221" s="3" t="s">
        <v>176</v>
      </c>
      <c r="H221" s="2">
        <v>46113</v>
      </c>
      <c r="I221" s="36">
        <v>0.7</v>
      </c>
      <c r="J221" s="36">
        <v>0</v>
      </c>
      <c r="K221" s="33">
        <f>SUMIFS($J$2:J221,$C$2:C221,C221)</f>
        <v>0</v>
      </c>
    </row>
    <row r="222" spans="1:11" ht="60">
      <c r="A222" s="17">
        <f t="shared" si="3"/>
        <v>19</v>
      </c>
      <c r="B222" s="14" t="s">
        <v>11</v>
      </c>
      <c r="C222" s="1" t="s">
        <v>70</v>
      </c>
      <c r="D222" s="1" t="s">
        <v>71</v>
      </c>
      <c r="F222" t="s">
        <v>72</v>
      </c>
      <c r="G222" s="3" t="s">
        <v>176</v>
      </c>
      <c r="H222" s="2">
        <v>46143</v>
      </c>
      <c r="I222" s="36">
        <v>0.7</v>
      </c>
      <c r="J222" s="36">
        <v>0</v>
      </c>
      <c r="K222" s="33">
        <f>SUMIFS($J$2:J222,$C$2:C222,C222)</f>
        <v>0</v>
      </c>
    </row>
    <row r="223" spans="1:11" ht="60">
      <c r="A223" s="17">
        <f t="shared" si="3"/>
        <v>19</v>
      </c>
      <c r="B223" s="14" t="s">
        <v>11</v>
      </c>
      <c r="C223" s="1" t="s">
        <v>70</v>
      </c>
      <c r="D223" s="1" t="s">
        <v>71</v>
      </c>
      <c r="F223" t="s">
        <v>72</v>
      </c>
      <c r="G223" s="3" t="s">
        <v>176</v>
      </c>
      <c r="H223" s="2">
        <v>46174</v>
      </c>
      <c r="I223" s="36">
        <v>0.7</v>
      </c>
      <c r="J223" s="36">
        <v>0</v>
      </c>
      <c r="K223" s="33">
        <f>SUMIFS($J$2:J223,$C$2:C223,C223)</f>
        <v>0</v>
      </c>
    </row>
    <row r="224" spans="1:11" ht="60">
      <c r="A224" s="17">
        <f t="shared" si="3"/>
        <v>19</v>
      </c>
      <c r="B224" s="14" t="s">
        <v>11</v>
      </c>
      <c r="C224" s="1" t="s">
        <v>70</v>
      </c>
      <c r="D224" s="1" t="s">
        <v>71</v>
      </c>
      <c r="F224" t="s">
        <v>72</v>
      </c>
      <c r="G224" s="3" t="s">
        <v>176</v>
      </c>
      <c r="H224" s="2">
        <v>46204</v>
      </c>
      <c r="I224" s="36">
        <v>0.7</v>
      </c>
      <c r="J224" s="36">
        <v>0</v>
      </c>
      <c r="K224" s="33">
        <f>SUMIFS($J$2:J224,$C$2:C224,C224)</f>
        <v>0</v>
      </c>
    </row>
    <row r="225" spans="1:11" ht="60">
      <c r="A225" s="17">
        <f t="shared" si="3"/>
        <v>19</v>
      </c>
      <c r="B225" s="14" t="s">
        <v>11</v>
      </c>
      <c r="C225" s="1" t="s">
        <v>70</v>
      </c>
      <c r="D225" s="1" t="s">
        <v>71</v>
      </c>
      <c r="F225" t="s">
        <v>72</v>
      </c>
      <c r="G225" s="3" t="s">
        <v>176</v>
      </c>
      <c r="H225" s="2">
        <v>46235</v>
      </c>
      <c r="I225" s="36">
        <v>0.7</v>
      </c>
      <c r="J225" s="36">
        <v>0</v>
      </c>
      <c r="K225" s="33">
        <f>SUMIFS($J$2:J225,$C$2:C225,C225)</f>
        <v>0</v>
      </c>
    </row>
    <row r="226" spans="1:11" ht="60">
      <c r="A226" s="17">
        <f t="shared" si="3"/>
        <v>19</v>
      </c>
      <c r="B226" s="14" t="s">
        <v>11</v>
      </c>
      <c r="C226" s="1" t="s">
        <v>70</v>
      </c>
      <c r="D226" s="1" t="s">
        <v>71</v>
      </c>
      <c r="F226" t="s">
        <v>72</v>
      </c>
      <c r="G226" s="3" t="s">
        <v>176</v>
      </c>
      <c r="H226" s="2">
        <v>46266</v>
      </c>
      <c r="I226" s="36">
        <v>0.7</v>
      </c>
      <c r="J226" s="36">
        <v>0</v>
      </c>
      <c r="K226" s="33">
        <f>SUMIFS($J$2:J226,$C$2:C226,C226)</f>
        <v>0</v>
      </c>
    </row>
    <row r="227" spans="1:11" ht="60">
      <c r="A227" s="17">
        <f t="shared" si="3"/>
        <v>19</v>
      </c>
      <c r="B227" s="14" t="s">
        <v>11</v>
      </c>
      <c r="C227" s="1" t="s">
        <v>70</v>
      </c>
      <c r="D227" s="1" t="s">
        <v>71</v>
      </c>
      <c r="F227" t="s">
        <v>72</v>
      </c>
      <c r="G227" s="3" t="s">
        <v>176</v>
      </c>
      <c r="H227" s="2">
        <v>46296</v>
      </c>
      <c r="I227" s="36">
        <v>0.7</v>
      </c>
      <c r="J227" s="36">
        <v>0</v>
      </c>
      <c r="K227" s="33">
        <f>SUMIFS($J$2:J227,$C$2:C227,C227)</f>
        <v>0</v>
      </c>
    </row>
    <row r="228" spans="1:11" ht="60">
      <c r="A228" s="17">
        <f t="shared" si="3"/>
        <v>19</v>
      </c>
      <c r="B228" s="14" t="s">
        <v>11</v>
      </c>
      <c r="C228" s="1" t="s">
        <v>70</v>
      </c>
      <c r="D228" s="1" t="s">
        <v>71</v>
      </c>
      <c r="F228" t="s">
        <v>72</v>
      </c>
      <c r="G228" s="3" t="s">
        <v>176</v>
      </c>
      <c r="H228" s="2">
        <v>46327</v>
      </c>
      <c r="I228" s="36">
        <v>0.7</v>
      </c>
      <c r="J228" s="36">
        <v>0</v>
      </c>
      <c r="K228" s="33">
        <f>SUMIFS($J$2:J228,$C$2:C228,C228)</f>
        <v>0</v>
      </c>
    </row>
    <row r="229" spans="1:11" ht="60">
      <c r="A229" s="17">
        <f t="shared" si="3"/>
        <v>19</v>
      </c>
      <c r="B229" s="14" t="s">
        <v>11</v>
      </c>
      <c r="C229" s="1" t="s">
        <v>70</v>
      </c>
      <c r="D229" s="1" t="s">
        <v>71</v>
      </c>
      <c r="F229" t="s">
        <v>72</v>
      </c>
      <c r="G229" s="3" t="s">
        <v>176</v>
      </c>
      <c r="H229" s="2">
        <v>46357</v>
      </c>
      <c r="I229" s="36">
        <v>0.7</v>
      </c>
      <c r="J229" s="36">
        <v>0</v>
      </c>
      <c r="K229" s="33">
        <f>SUMIFS($J$2:J229,$C$2:C229,C229)</f>
        <v>0</v>
      </c>
    </row>
    <row r="230" spans="1:11" ht="50.1" hidden="1" customHeight="1">
      <c r="A230" s="17">
        <f t="shared" si="3"/>
        <v>20</v>
      </c>
      <c r="B230" s="14" t="s">
        <v>10</v>
      </c>
      <c r="C230" s="1" t="s">
        <v>73</v>
      </c>
      <c r="D230" s="1" t="s">
        <v>74</v>
      </c>
      <c r="E230" s="1" t="s">
        <v>75</v>
      </c>
      <c r="F230" t="s">
        <v>72</v>
      </c>
      <c r="G230" s="3" t="s">
        <v>176</v>
      </c>
      <c r="H230" s="2">
        <v>46023</v>
      </c>
      <c r="I230" s="36"/>
      <c r="J230" s="36">
        <v>0</v>
      </c>
      <c r="K230" s="33">
        <f>SUMIFS($J$2:J230,$C$2:C230,C230)</f>
        <v>0</v>
      </c>
    </row>
    <row r="231" spans="1:11" ht="50.1" hidden="1" customHeight="1">
      <c r="A231" s="17">
        <f t="shared" si="3"/>
        <v>20</v>
      </c>
      <c r="B231" s="14" t="s">
        <v>10</v>
      </c>
      <c r="C231" s="1" t="s">
        <v>73</v>
      </c>
      <c r="D231" s="1" t="s">
        <v>74</v>
      </c>
      <c r="E231" t="s">
        <v>75</v>
      </c>
      <c r="F231" t="s">
        <v>72</v>
      </c>
      <c r="G231" s="3" t="s">
        <v>176</v>
      </c>
      <c r="H231" s="2">
        <v>46054</v>
      </c>
      <c r="I231" s="36"/>
      <c r="J231" s="36">
        <v>0</v>
      </c>
      <c r="K231" s="33">
        <f>SUMIFS($J$2:J231,$C$2:C231,C231)</f>
        <v>0</v>
      </c>
    </row>
    <row r="232" spans="1:11" ht="50.1" hidden="1" customHeight="1">
      <c r="A232" s="17">
        <f t="shared" si="3"/>
        <v>20</v>
      </c>
      <c r="B232" s="14" t="s">
        <v>10</v>
      </c>
      <c r="C232" s="1" t="s">
        <v>73</v>
      </c>
      <c r="D232" s="1" t="s">
        <v>74</v>
      </c>
      <c r="E232" t="s">
        <v>75</v>
      </c>
      <c r="F232" t="s">
        <v>72</v>
      </c>
      <c r="G232" s="3" t="s">
        <v>176</v>
      </c>
      <c r="H232" s="2">
        <v>46082</v>
      </c>
      <c r="I232" s="36"/>
      <c r="J232" s="36">
        <v>0</v>
      </c>
      <c r="K232" s="33">
        <f>SUMIFS($J$2:J232,$C$2:C232,C232)</f>
        <v>0</v>
      </c>
    </row>
    <row r="233" spans="1:11" ht="50.1" hidden="1" customHeight="1">
      <c r="A233" s="17">
        <f t="shared" si="3"/>
        <v>20</v>
      </c>
      <c r="B233" s="14" t="s">
        <v>10</v>
      </c>
      <c r="C233" s="1" t="s">
        <v>73</v>
      </c>
      <c r="D233" s="1" t="s">
        <v>74</v>
      </c>
      <c r="E233" t="s">
        <v>75</v>
      </c>
      <c r="F233" t="s">
        <v>72</v>
      </c>
      <c r="G233" s="3" t="s">
        <v>176</v>
      </c>
      <c r="H233" s="2">
        <v>46113</v>
      </c>
      <c r="I233" s="36">
        <v>0.1</v>
      </c>
      <c r="J233" s="36">
        <v>0.1</v>
      </c>
      <c r="K233" s="33">
        <f>SUMIFS($J$2:J233,$C$2:C233,C233)</f>
        <v>0.1</v>
      </c>
    </row>
    <row r="234" spans="1:11" ht="50.1" hidden="1" customHeight="1">
      <c r="A234" s="17">
        <f t="shared" si="3"/>
        <v>20</v>
      </c>
      <c r="B234" s="14" t="s">
        <v>10</v>
      </c>
      <c r="C234" s="1" t="s">
        <v>73</v>
      </c>
      <c r="D234" s="1" t="s">
        <v>74</v>
      </c>
      <c r="E234" t="s">
        <v>75</v>
      </c>
      <c r="F234" t="s">
        <v>72</v>
      </c>
      <c r="G234" s="3" t="s">
        <v>176</v>
      </c>
      <c r="H234" s="2">
        <v>46143</v>
      </c>
      <c r="I234" s="36"/>
      <c r="J234" s="36">
        <v>0</v>
      </c>
      <c r="K234" s="33">
        <f>SUMIFS($J$2:J234,$C$2:C234,C234)</f>
        <v>0.1</v>
      </c>
    </row>
    <row r="235" spans="1:11" ht="50.1" hidden="1" customHeight="1">
      <c r="A235" s="17">
        <f t="shared" si="3"/>
        <v>20</v>
      </c>
      <c r="B235" s="14" t="s">
        <v>10</v>
      </c>
      <c r="C235" s="1" t="s">
        <v>73</v>
      </c>
      <c r="D235" s="1" t="s">
        <v>74</v>
      </c>
      <c r="E235" t="s">
        <v>75</v>
      </c>
      <c r="F235" t="s">
        <v>72</v>
      </c>
      <c r="G235" s="3" t="s">
        <v>176</v>
      </c>
      <c r="H235" s="2">
        <v>46174</v>
      </c>
      <c r="I235" s="36"/>
      <c r="J235" s="36">
        <v>0</v>
      </c>
      <c r="K235" s="33">
        <f>SUMIFS($J$2:J235,$C$2:C235,C235)</f>
        <v>0.1</v>
      </c>
    </row>
    <row r="236" spans="1:11" ht="50.1" hidden="1" customHeight="1">
      <c r="A236" s="17">
        <f t="shared" si="3"/>
        <v>20</v>
      </c>
      <c r="B236" s="14" t="s">
        <v>10</v>
      </c>
      <c r="C236" s="1" t="s">
        <v>73</v>
      </c>
      <c r="D236" s="1" t="s">
        <v>74</v>
      </c>
      <c r="E236" t="s">
        <v>75</v>
      </c>
      <c r="F236" t="s">
        <v>72</v>
      </c>
      <c r="G236" s="3" t="s">
        <v>176</v>
      </c>
      <c r="H236" s="2">
        <v>46204</v>
      </c>
      <c r="I236" s="36"/>
      <c r="J236" s="36">
        <v>0</v>
      </c>
      <c r="K236" s="33">
        <f>SUMIFS($J$2:J236,$C$2:C236,C236)</f>
        <v>0.1</v>
      </c>
    </row>
    <row r="237" spans="1:11" ht="50.1" hidden="1" customHeight="1">
      <c r="A237" s="17">
        <f t="shared" si="3"/>
        <v>20</v>
      </c>
      <c r="B237" s="14" t="s">
        <v>10</v>
      </c>
      <c r="C237" s="1" t="s">
        <v>73</v>
      </c>
      <c r="D237" s="1" t="s">
        <v>74</v>
      </c>
      <c r="E237" t="s">
        <v>75</v>
      </c>
      <c r="F237" t="s">
        <v>72</v>
      </c>
      <c r="G237" s="3" t="s">
        <v>176</v>
      </c>
      <c r="H237" s="2">
        <v>46235</v>
      </c>
      <c r="I237" s="36"/>
      <c r="J237" s="36">
        <v>0</v>
      </c>
      <c r="K237" s="33">
        <f>SUMIFS($J$2:J237,$C$2:C237,C237)</f>
        <v>0.1</v>
      </c>
    </row>
    <row r="238" spans="1:11" ht="50.1" hidden="1" customHeight="1">
      <c r="A238" s="17">
        <f t="shared" si="3"/>
        <v>20</v>
      </c>
      <c r="B238" s="14" t="s">
        <v>10</v>
      </c>
      <c r="C238" s="1" t="s">
        <v>73</v>
      </c>
      <c r="D238" s="1" t="s">
        <v>74</v>
      </c>
      <c r="E238" t="s">
        <v>75</v>
      </c>
      <c r="F238" t="s">
        <v>72</v>
      </c>
      <c r="G238" s="3" t="s">
        <v>176</v>
      </c>
      <c r="H238" s="2">
        <v>46266</v>
      </c>
      <c r="I238" s="36"/>
      <c r="J238" s="36">
        <v>0</v>
      </c>
      <c r="K238" s="33">
        <f>SUMIFS($J$2:J238,$C$2:C238,C238)</f>
        <v>0.1</v>
      </c>
    </row>
    <row r="239" spans="1:11" ht="50.1" hidden="1" customHeight="1">
      <c r="A239" s="17">
        <f t="shared" si="3"/>
        <v>20</v>
      </c>
      <c r="B239" s="14" t="s">
        <v>10</v>
      </c>
      <c r="C239" s="1" t="s">
        <v>73</v>
      </c>
      <c r="D239" s="1" t="s">
        <v>74</v>
      </c>
      <c r="E239" t="s">
        <v>75</v>
      </c>
      <c r="F239" t="s">
        <v>72</v>
      </c>
      <c r="G239" s="3" t="s">
        <v>176</v>
      </c>
      <c r="H239" s="2">
        <v>46296</v>
      </c>
      <c r="I239" s="36"/>
      <c r="J239" s="36">
        <v>0</v>
      </c>
      <c r="K239" s="33">
        <f>SUMIFS($J$2:J239,$C$2:C239,C239)</f>
        <v>0.1</v>
      </c>
    </row>
    <row r="240" spans="1:11" ht="50.1" hidden="1" customHeight="1">
      <c r="A240" s="17">
        <f t="shared" si="3"/>
        <v>20</v>
      </c>
      <c r="B240" s="14" t="s">
        <v>10</v>
      </c>
      <c r="C240" s="1" t="s">
        <v>73</v>
      </c>
      <c r="D240" s="1" t="s">
        <v>74</v>
      </c>
      <c r="E240" t="s">
        <v>75</v>
      </c>
      <c r="F240" t="s">
        <v>72</v>
      </c>
      <c r="G240" s="3" t="s">
        <v>176</v>
      </c>
      <c r="H240" s="2">
        <v>46327</v>
      </c>
      <c r="I240" s="36"/>
      <c r="J240" s="36">
        <v>0</v>
      </c>
      <c r="K240" s="33">
        <f>SUMIFS($J$2:J240,$C$2:C240,C240)</f>
        <v>0.1</v>
      </c>
    </row>
    <row r="241" spans="1:11" ht="50.1" hidden="1" customHeight="1">
      <c r="A241" s="17">
        <f t="shared" si="3"/>
        <v>20</v>
      </c>
      <c r="B241" s="14" t="s">
        <v>10</v>
      </c>
      <c r="C241" s="1" t="s">
        <v>73</v>
      </c>
      <c r="D241" s="1" t="s">
        <v>74</v>
      </c>
      <c r="E241" t="s">
        <v>75</v>
      </c>
      <c r="F241" t="s">
        <v>72</v>
      </c>
      <c r="G241" s="3" t="s">
        <v>176</v>
      </c>
      <c r="H241" s="2">
        <v>46357</v>
      </c>
      <c r="I241" s="36">
        <v>0.9</v>
      </c>
      <c r="J241" s="36">
        <v>0</v>
      </c>
      <c r="K241" s="33">
        <f>SUMIFS($J$2:J241,$C$2:C241,C241)</f>
        <v>0.1</v>
      </c>
    </row>
    <row r="242" spans="1:11" ht="60">
      <c r="A242" s="17">
        <f t="shared" si="3"/>
        <v>21</v>
      </c>
      <c r="B242" s="14" t="s">
        <v>11</v>
      </c>
      <c r="C242" s="1" t="s">
        <v>76</v>
      </c>
      <c r="D242" s="1" t="s">
        <v>77</v>
      </c>
      <c r="F242" t="s">
        <v>78</v>
      </c>
      <c r="G242" s="3" t="s">
        <v>176</v>
      </c>
      <c r="H242" s="2">
        <v>46023</v>
      </c>
      <c r="I242" s="36">
        <v>0.8</v>
      </c>
      <c r="J242" s="36">
        <v>0</v>
      </c>
      <c r="K242" s="33">
        <f>SUMIFS($J$2:J242,$C$2:C242,C242)</f>
        <v>0</v>
      </c>
    </row>
    <row r="243" spans="1:11" ht="60">
      <c r="A243" s="17">
        <f t="shared" si="3"/>
        <v>21</v>
      </c>
      <c r="B243" s="14" t="s">
        <v>11</v>
      </c>
      <c r="C243" s="1" t="s">
        <v>76</v>
      </c>
      <c r="D243" s="1" t="s">
        <v>77</v>
      </c>
      <c r="F243" t="s">
        <v>78</v>
      </c>
      <c r="G243" s="3" t="s">
        <v>176</v>
      </c>
      <c r="H243" s="2">
        <v>46054</v>
      </c>
      <c r="I243" s="36">
        <v>0.8</v>
      </c>
      <c r="J243" s="36">
        <v>0</v>
      </c>
      <c r="K243" s="33">
        <f>SUMIFS($J$2:J243,$C$2:C243,C243)</f>
        <v>0</v>
      </c>
    </row>
    <row r="244" spans="1:11" ht="60">
      <c r="A244" s="17">
        <f t="shared" si="3"/>
        <v>21</v>
      </c>
      <c r="B244" s="14" t="s">
        <v>11</v>
      </c>
      <c r="C244" s="1" t="s">
        <v>76</v>
      </c>
      <c r="D244" s="1" t="s">
        <v>77</v>
      </c>
      <c r="F244" t="s">
        <v>78</v>
      </c>
      <c r="G244" s="3" t="s">
        <v>176</v>
      </c>
      <c r="H244" s="2">
        <v>46082</v>
      </c>
      <c r="I244" s="36">
        <v>0.8</v>
      </c>
      <c r="J244" s="36">
        <v>0</v>
      </c>
      <c r="K244" s="33">
        <f>SUMIFS($J$2:J244,$C$2:C244,C244)</f>
        <v>0</v>
      </c>
    </row>
    <row r="245" spans="1:11" ht="60">
      <c r="A245" s="17">
        <f t="shared" si="3"/>
        <v>21</v>
      </c>
      <c r="B245" s="14" t="s">
        <v>11</v>
      </c>
      <c r="C245" s="1" t="s">
        <v>76</v>
      </c>
      <c r="D245" s="1" t="s">
        <v>77</v>
      </c>
      <c r="F245" t="s">
        <v>78</v>
      </c>
      <c r="G245" s="3" t="s">
        <v>176</v>
      </c>
      <c r="H245" s="2">
        <v>46113</v>
      </c>
      <c r="I245" s="36">
        <v>0.8</v>
      </c>
      <c r="J245" s="36">
        <v>0</v>
      </c>
      <c r="K245" s="33">
        <f>SUMIFS($J$2:J245,$C$2:C245,C245)</f>
        <v>0</v>
      </c>
    </row>
    <row r="246" spans="1:11" ht="60">
      <c r="A246" s="17">
        <f t="shared" si="3"/>
        <v>21</v>
      </c>
      <c r="B246" s="14" t="s">
        <v>11</v>
      </c>
      <c r="C246" s="1" t="s">
        <v>76</v>
      </c>
      <c r="D246" s="1" t="s">
        <v>77</v>
      </c>
      <c r="F246" t="s">
        <v>78</v>
      </c>
      <c r="G246" s="3" t="s">
        <v>176</v>
      </c>
      <c r="H246" s="2">
        <v>46143</v>
      </c>
      <c r="I246" s="36">
        <v>0.8</v>
      </c>
      <c r="J246" s="36">
        <v>0</v>
      </c>
      <c r="K246" s="33">
        <f>SUMIFS($J$2:J246,$C$2:C246,C246)</f>
        <v>0</v>
      </c>
    </row>
    <row r="247" spans="1:11" ht="60">
      <c r="A247" s="17">
        <f t="shared" si="3"/>
        <v>21</v>
      </c>
      <c r="B247" s="14" t="s">
        <v>11</v>
      </c>
      <c r="C247" s="1" t="s">
        <v>76</v>
      </c>
      <c r="D247" s="1" t="s">
        <v>77</v>
      </c>
      <c r="F247" t="s">
        <v>78</v>
      </c>
      <c r="G247" s="3" t="s">
        <v>176</v>
      </c>
      <c r="H247" s="2">
        <v>46174</v>
      </c>
      <c r="I247" s="36">
        <v>0.8</v>
      </c>
      <c r="J247" s="36">
        <v>0</v>
      </c>
      <c r="K247" s="33">
        <f>SUMIFS($J$2:J247,$C$2:C247,C247)</f>
        <v>0</v>
      </c>
    </row>
    <row r="248" spans="1:11" ht="60">
      <c r="A248" s="17">
        <f t="shared" si="3"/>
        <v>21</v>
      </c>
      <c r="B248" s="14" t="s">
        <v>11</v>
      </c>
      <c r="C248" s="1" t="s">
        <v>76</v>
      </c>
      <c r="D248" s="1" t="s">
        <v>77</v>
      </c>
      <c r="F248" t="s">
        <v>78</v>
      </c>
      <c r="G248" s="3" t="s">
        <v>176</v>
      </c>
      <c r="H248" s="2">
        <v>46204</v>
      </c>
      <c r="I248" s="36">
        <v>0.8</v>
      </c>
      <c r="J248" s="36">
        <v>0</v>
      </c>
      <c r="K248" s="33">
        <f>SUMIFS($J$2:J248,$C$2:C248,C248)</f>
        <v>0</v>
      </c>
    </row>
    <row r="249" spans="1:11" ht="60">
      <c r="A249" s="17">
        <f t="shared" si="3"/>
        <v>21</v>
      </c>
      <c r="B249" s="14" t="s">
        <v>11</v>
      </c>
      <c r="C249" s="1" t="s">
        <v>76</v>
      </c>
      <c r="D249" s="1" t="s">
        <v>77</v>
      </c>
      <c r="F249" t="s">
        <v>78</v>
      </c>
      <c r="G249" s="3" t="s">
        <v>176</v>
      </c>
      <c r="H249" s="2">
        <v>46235</v>
      </c>
      <c r="I249" s="36">
        <v>0.8</v>
      </c>
      <c r="J249" s="36">
        <v>0</v>
      </c>
      <c r="K249" s="33">
        <f>SUMIFS($J$2:J249,$C$2:C249,C249)</f>
        <v>0</v>
      </c>
    </row>
    <row r="250" spans="1:11" ht="60">
      <c r="A250" s="17">
        <f t="shared" si="3"/>
        <v>21</v>
      </c>
      <c r="B250" s="14" t="s">
        <v>11</v>
      </c>
      <c r="C250" s="1" t="s">
        <v>76</v>
      </c>
      <c r="D250" s="1" t="s">
        <v>77</v>
      </c>
      <c r="F250" t="s">
        <v>78</v>
      </c>
      <c r="G250" s="3" t="s">
        <v>176</v>
      </c>
      <c r="H250" s="2">
        <v>46266</v>
      </c>
      <c r="I250" s="36">
        <v>0.8</v>
      </c>
      <c r="J250" s="36">
        <v>0</v>
      </c>
      <c r="K250" s="33">
        <f>SUMIFS($J$2:J250,$C$2:C250,C250)</f>
        <v>0</v>
      </c>
    </row>
    <row r="251" spans="1:11" ht="60">
      <c r="A251" s="17">
        <f t="shared" si="3"/>
        <v>21</v>
      </c>
      <c r="B251" s="14" t="s">
        <v>11</v>
      </c>
      <c r="C251" s="1" t="s">
        <v>76</v>
      </c>
      <c r="D251" s="1" t="s">
        <v>77</v>
      </c>
      <c r="F251" t="s">
        <v>78</v>
      </c>
      <c r="G251" s="3" t="s">
        <v>176</v>
      </c>
      <c r="H251" s="2">
        <v>46296</v>
      </c>
      <c r="I251" s="36">
        <v>0.8</v>
      </c>
      <c r="J251" s="36">
        <v>0</v>
      </c>
      <c r="K251" s="33">
        <f>SUMIFS($J$2:J251,$C$2:C251,C251)</f>
        <v>0</v>
      </c>
    </row>
    <row r="252" spans="1:11" ht="60">
      <c r="A252" s="17">
        <f t="shared" si="3"/>
        <v>21</v>
      </c>
      <c r="B252" s="14" t="s">
        <v>11</v>
      </c>
      <c r="C252" s="1" t="s">
        <v>76</v>
      </c>
      <c r="D252" s="1" t="s">
        <v>77</v>
      </c>
      <c r="F252" t="s">
        <v>78</v>
      </c>
      <c r="G252" s="3" t="s">
        <v>176</v>
      </c>
      <c r="H252" s="2">
        <v>46327</v>
      </c>
      <c r="I252" s="36">
        <v>0.8</v>
      </c>
      <c r="J252" s="36">
        <v>0</v>
      </c>
      <c r="K252" s="33">
        <f>SUMIFS($J$2:J252,$C$2:C252,C252)</f>
        <v>0</v>
      </c>
    </row>
    <row r="253" spans="1:11" ht="60">
      <c r="A253" s="17">
        <f t="shared" si="3"/>
        <v>21</v>
      </c>
      <c r="B253" s="14" t="s">
        <v>11</v>
      </c>
      <c r="C253" s="1" t="s">
        <v>76</v>
      </c>
      <c r="D253" s="1" t="s">
        <v>77</v>
      </c>
      <c r="F253" t="s">
        <v>78</v>
      </c>
      <c r="G253" s="3" t="s">
        <v>176</v>
      </c>
      <c r="H253" s="2">
        <v>46357</v>
      </c>
      <c r="I253" s="36">
        <v>0.8</v>
      </c>
      <c r="J253" s="36">
        <v>0</v>
      </c>
      <c r="K253" s="33">
        <f>SUMIFS($J$2:J253,$C$2:C253,C253)</f>
        <v>0</v>
      </c>
    </row>
    <row r="254" spans="1:11" ht="50.1" hidden="1" customHeight="1">
      <c r="A254" s="17">
        <f t="shared" si="3"/>
        <v>22</v>
      </c>
      <c r="B254" s="14" t="s">
        <v>10</v>
      </c>
      <c r="C254" s="1" t="s">
        <v>79</v>
      </c>
      <c r="D254" s="1" t="s">
        <v>80</v>
      </c>
      <c r="E254" s="1" t="s">
        <v>81</v>
      </c>
      <c r="F254" t="s">
        <v>78</v>
      </c>
      <c r="G254" s="3" t="s">
        <v>176</v>
      </c>
      <c r="H254" s="2">
        <v>46023</v>
      </c>
      <c r="I254" s="36"/>
      <c r="J254" s="36">
        <v>0</v>
      </c>
      <c r="K254" s="33">
        <f>SUMIFS($J$2:J254,$C$2:C254,C254)</f>
        <v>0</v>
      </c>
    </row>
    <row r="255" spans="1:11" ht="50.1" hidden="1" customHeight="1">
      <c r="A255" s="17">
        <f t="shared" si="3"/>
        <v>22</v>
      </c>
      <c r="B255" s="14" t="s">
        <v>10</v>
      </c>
      <c r="C255" s="1" t="s">
        <v>79</v>
      </c>
      <c r="D255" s="1" t="s">
        <v>80</v>
      </c>
      <c r="E255" t="s">
        <v>81</v>
      </c>
      <c r="F255" t="s">
        <v>78</v>
      </c>
      <c r="G255" s="3" t="s">
        <v>176</v>
      </c>
      <c r="H255" s="2">
        <v>46054</v>
      </c>
      <c r="I255" s="36">
        <v>0.3</v>
      </c>
      <c r="J255" s="36">
        <v>0.3</v>
      </c>
      <c r="K255" s="33">
        <f>SUMIFS($J$2:J255,$C$2:C255,C255)</f>
        <v>0.3</v>
      </c>
    </row>
    <row r="256" spans="1:11" ht="50.1" hidden="1" customHeight="1">
      <c r="A256" s="17">
        <f t="shared" si="3"/>
        <v>22</v>
      </c>
      <c r="B256" s="14" t="s">
        <v>10</v>
      </c>
      <c r="C256" s="1" t="s">
        <v>79</v>
      </c>
      <c r="D256" s="1" t="s">
        <v>80</v>
      </c>
      <c r="E256" t="s">
        <v>81</v>
      </c>
      <c r="F256" t="s">
        <v>78</v>
      </c>
      <c r="G256" s="3" t="s">
        <v>176</v>
      </c>
      <c r="H256" s="2">
        <v>46082</v>
      </c>
      <c r="I256" s="36"/>
      <c r="J256" s="36">
        <v>0</v>
      </c>
      <c r="K256" s="33">
        <f>SUMIFS($J$2:J256,$C$2:C256,C256)</f>
        <v>0.3</v>
      </c>
    </row>
    <row r="257" spans="1:11" ht="50.1" hidden="1" customHeight="1">
      <c r="A257" s="17">
        <f t="shared" si="3"/>
        <v>22</v>
      </c>
      <c r="B257" s="14" t="s">
        <v>10</v>
      </c>
      <c r="C257" s="1" t="s">
        <v>79</v>
      </c>
      <c r="D257" s="1" t="s">
        <v>80</v>
      </c>
      <c r="E257" t="s">
        <v>81</v>
      </c>
      <c r="F257" t="s">
        <v>78</v>
      </c>
      <c r="G257" s="3" t="s">
        <v>176</v>
      </c>
      <c r="H257" s="2">
        <v>46113</v>
      </c>
      <c r="I257" s="36"/>
      <c r="J257" s="36">
        <v>0</v>
      </c>
      <c r="K257" s="33">
        <f>SUMIFS($J$2:J257,$C$2:C257,C257)</f>
        <v>0.3</v>
      </c>
    </row>
    <row r="258" spans="1:11" ht="50.1" hidden="1" customHeight="1">
      <c r="A258" s="17">
        <f t="shared" si="3"/>
        <v>22</v>
      </c>
      <c r="B258" s="14" t="s">
        <v>10</v>
      </c>
      <c r="C258" s="1" t="s">
        <v>79</v>
      </c>
      <c r="D258" s="1" t="s">
        <v>80</v>
      </c>
      <c r="E258" t="s">
        <v>81</v>
      </c>
      <c r="F258" t="s">
        <v>78</v>
      </c>
      <c r="G258" s="3" t="s">
        <v>176</v>
      </c>
      <c r="H258" s="2">
        <v>46143</v>
      </c>
      <c r="I258" s="36"/>
      <c r="J258" s="36">
        <v>0</v>
      </c>
      <c r="K258" s="33">
        <f>SUMIFS($J$2:J258,$C$2:C258,C258)</f>
        <v>0.3</v>
      </c>
    </row>
    <row r="259" spans="1:11" ht="50.1" hidden="1" customHeight="1">
      <c r="A259" s="17">
        <f t="shared" ref="A259:A322" si="4">INT((ROW(A259)-2)/12)+1</f>
        <v>22</v>
      </c>
      <c r="B259" s="14" t="s">
        <v>10</v>
      </c>
      <c r="C259" s="1" t="s">
        <v>79</v>
      </c>
      <c r="D259" s="1" t="s">
        <v>80</v>
      </c>
      <c r="E259" t="s">
        <v>81</v>
      </c>
      <c r="F259" t="s">
        <v>78</v>
      </c>
      <c r="G259" s="3" t="s">
        <v>176</v>
      </c>
      <c r="H259" s="2">
        <v>46174</v>
      </c>
      <c r="I259" s="36"/>
      <c r="J259" s="36">
        <v>0</v>
      </c>
      <c r="K259" s="33">
        <f>SUMIFS($J$2:J259,$C$2:C259,C259)</f>
        <v>0.3</v>
      </c>
    </row>
    <row r="260" spans="1:11" ht="50.1" hidden="1" customHeight="1">
      <c r="A260" s="17">
        <f t="shared" si="4"/>
        <v>22</v>
      </c>
      <c r="B260" s="14" t="s">
        <v>10</v>
      </c>
      <c r="C260" s="1" t="s">
        <v>79</v>
      </c>
      <c r="D260" s="1" t="s">
        <v>80</v>
      </c>
      <c r="E260" t="s">
        <v>81</v>
      </c>
      <c r="F260" t="s">
        <v>78</v>
      </c>
      <c r="G260" s="3" t="s">
        <v>176</v>
      </c>
      <c r="H260" s="2">
        <v>46204</v>
      </c>
      <c r="I260" s="36">
        <v>0.7</v>
      </c>
      <c r="J260" s="36">
        <v>0</v>
      </c>
      <c r="K260" s="33">
        <f>SUMIFS($J$2:J260,$C$2:C260,C260)</f>
        <v>0.3</v>
      </c>
    </row>
    <row r="261" spans="1:11" ht="50.1" hidden="1" customHeight="1">
      <c r="A261" s="17">
        <f t="shared" si="4"/>
        <v>22</v>
      </c>
      <c r="B261" s="14" t="s">
        <v>10</v>
      </c>
      <c r="C261" s="1" t="s">
        <v>79</v>
      </c>
      <c r="D261" s="1" t="s">
        <v>80</v>
      </c>
      <c r="E261" t="s">
        <v>81</v>
      </c>
      <c r="F261" t="s">
        <v>78</v>
      </c>
      <c r="G261" s="3" t="s">
        <v>176</v>
      </c>
      <c r="H261" s="2">
        <v>46235</v>
      </c>
      <c r="I261" s="36"/>
      <c r="J261" s="36">
        <v>0</v>
      </c>
      <c r="K261" s="33">
        <f>SUMIFS($J$2:J261,$C$2:C261,C261)</f>
        <v>0.3</v>
      </c>
    </row>
    <row r="262" spans="1:11" ht="50.1" hidden="1" customHeight="1">
      <c r="A262" s="17">
        <f t="shared" si="4"/>
        <v>22</v>
      </c>
      <c r="B262" s="14" t="s">
        <v>10</v>
      </c>
      <c r="C262" s="1" t="s">
        <v>79</v>
      </c>
      <c r="D262" s="1" t="s">
        <v>80</v>
      </c>
      <c r="E262" t="s">
        <v>81</v>
      </c>
      <c r="F262" t="s">
        <v>78</v>
      </c>
      <c r="G262" s="3" t="s">
        <v>176</v>
      </c>
      <c r="H262" s="2">
        <v>46266</v>
      </c>
      <c r="I262" s="36"/>
      <c r="J262" s="36">
        <v>0</v>
      </c>
      <c r="K262" s="33">
        <f>SUMIFS($J$2:J262,$C$2:C262,C262)</f>
        <v>0.3</v>
      </c>
    </row>
    <row r="263" spans="1:11" ht="50.1" hidden="1" customHeight="1">
      <c r="A263" s="17">
        <f t="shared" si="4"/>
        <v>22</v>
      </c>
      <c r="B263" s="14" t="s">
        <v>10</v>
      </c>
      <c r="C263" s="1" t="s">
        <v>79</v>
      </c>
      <c r="D263" s="1" t="s">
        <v>80</v>
      </c>
      <c r="E263" t="s">
        <v>81</v>
      </c>
      <c r="F263" t="s">
        <v>78</v>
      </c>
      <c r="G263" s="3" t="s">
        <v>176</v>
      </c>
      <c r="H263" s="2">
        <v>46296</v>
      </c>
      <c r="I263" s="36"/>
      <c r="J263" s="36">
        <v>0</v>
      </c>
      <c r="K263" s="33">
        <f>SUMIFS($J$2:J263,$C$2:C263,C263)</f>
        <v>0.3</v>
      </c>
    </row>
    <row r="264" spans="1:11" ht="50.1" hidden="1" customHeight="1">
      <c r="A264" s="17">
        <f t="shared" si="4"/>
        <v>22</v>
      </c>
      <c r="B264" s="14" t="s">
        <v>10</v>
      </c>
      <c r="C264" s="1" t="s">
        <v>79</v>
      </c>
      <c r="D264" s="1" t="s">
        <v>80</v>
      </c>
      <c r="E264" t="s">
        <v>81</v>
      </c>
      <c r="F264" t="s">
        <v>78</v>
      </c>
      <c r="G264" s="3" t="s">
        <v>176</v>
      </c>
      <c r="H264" s="2">
        <v>46327</v>
      </c>
      <c r="I264" s="36"/>
      <c r="J264" s="36">
        <v>0</v>
      </c>
      <c r="K264" s="33">
        <f>SUMIFS($J$2:J264,$C$2:C264,C264)</f>
        <v>0.3</v>
      </c>
    </row>
    <row r="265" spans="1:11" ht="50.1" hidden="1" customHeight="1">
      <c r="A265" s="17">
        <f t="shared" si="4"/>
        <v>22</v>
      </c>
      <c r="B265" s="14" t="s">
        <v>10</v>
      </c>
      <c r="C265" s="1" t="s">
        <v>79</v>
      </c>
      <c r="D265" s="1" t="s">
        <v>80</v>
      </c>
      <c r="E265" t="s">
        <v>81</v>
      </c>
      <c r="F265" t="s">
        <v>78</v>
      </c>
      <c r="G265" s="3" t="s">
        <v>176</v>
      </c>
      <c r="H265" s="2">
        <v>46357</v>
      </c>
      <c r="I265" s="36"/>
      <c r="J265" s="36">
        <v>0</v>
      </c>
      <c r="K265" s="33">
        <f>SUMIFS($J$2:J265,$C$2:C265,C265)</f>
        <v>0.3</v>
      </c>
    </row>
    <row r="266" spans="1:11" ht="60">
      <c r="A266" s="17">
        <f t="shared" si="4"/>
        <v>23</v>
      </c>
      <c r="B266" s="14" t="s">
        <v>11</v>
      </c>
      <c r="C266" s="1" t="s">
        <v>82</v>
      </c>
      <c r="D266" s="1" t="s">
        <v>83</v>
      </c>
      <c r="F266" t="s">
        <v>84</v>
      </c>
      <c r="G266" s="3" t="s">
        <v>176</v>
      </c>
      <c r="H266" s="2">
        <v>46023</v>
      </c>
      <c r="I266" s="36">
        <v>0.65</v>
      </c>
      <c r="J266" s="36">
        <v>0</v>
      </c>
      <c r="K266" s="33">
        <f>SUMIFS($J$2:J266,$C$2:C266,C266)</f>
        <v>0</v>
      </c>
    </row>
    <row r="267" spans="1:11" ht="60">
      <c r="A267" s="17">
        <f t="shared" si="4"/>
        <v>23</v>
      </c>
      <c r="B267" s="14" t="s">
        <v>11</v>
      </c>
      <c r="C267" s="1" t="s">
        <v>82</v>
      </c>
      <c r="D267" s="1" t="s">
        <v>83</v>
      </c>
      <c r="F267" t="s">
        <v>84</v>
      </c>
      <c r="G267" s="3" t="s">
        <v>176</v>
      </c>
      <c r="H267" s="2">
        <v>46054</v>
      </c>
      <c r="I267" s="36">
        <v>0.65</v>
      </c>
      <c r="J267" s="36">
        <v>0</v>
      </c>
      <c r="K267" s="33">
        <f>SUMIFS($J$2:J267,$C$2:C267,C267)</f>
        <v>0</v>
      </c>
    </row>
    <row r="268" spans="1:11" ht="60">
      <c r="A268" s="17">
        <f t="shared" si="4"/>
        <v>23</v>
      </c>
      <c r="B268" s="14" t="s">
        <v>11</v>
      </c>
      <c r="C268" s="1" t="s">
        <v>82</v>
      </c>
      <c r="D268" s="1" t="s">
        <v>83</v>
      </c>
      <c r="F268" t="s">
        <v>84</v>
      </c>
      <c r="G268" s="3" t="s">
        <v>176</v>
      </c>
      <c r="H268" s="2">
        <v>46082</v>
      </c>
      <c r="I268" s="36">
        <v>0.65</v>
      </c>
      <c r="J268" s="36">
        <v>0</v>
      </c>
      <c r="K268" s="33">
        <f>SUMIFS($J$2:J268,$C$2:C268,C268)</f>
        <v>0</v>
      </c>
    </row>
    <row r="269" spans="1:11" ht="60">
      <c r="A269" s="17">
        <f t="shared" si="4"/>
        <v>23</v>
      </c>
      <c r="B269" s="14" t="s">
        <v>11</v>
      </c>
      <c r="C269" s="1" t="s">
        <v>82</v>
      </c>
      <c r="D269" s="1" t="s">
        <v>83</v>
      </c>
      <c r="F269" t="s">
        <v>84</v>
      </c>
      <c r="G269" s="3" t="s">
        <v>176</v>
      </c>
      <c r="H269" s="2">
        <v>46113</v>
      </c>
      <c r="I269" s="36">
        <v>0.65</v>
      </c>
      <c r="J269" s="36">
        <v>0</v>
      </c>
      <c r="K269" s="33">
        <f>SUMIFS($J$2:J269,$C$2:C269,C269)</f>
        <v>0</v>
      </c>
    </row>
    <row r="270" spans="1:11" ht="60">
      <c r="A270" s="17">
        <f t="shared" si="4"/>
        <v>23</v>
      </c>
      <c r="B270" s="14" t="s">
        <v>11</v>
      </c>
      <c r="C270" s="1" t="s">
        <v>82</v>
      </c>
      <c r="D270" s="1" t="s">
        <v>83</v>
      </c>
      <c r="F270" t="s">
        <v>84</v>
      </c>
      <c r="G270" s="3" t="s">
        <v>176</v>
      </c>
      <c r="H270" s="2">
        <v>46143</v>
      </c>
      <c r="I270" s="36">
        <v>0.65</v>
      </c>
      <c r="J270" s="36">
        <v>0</v>
      </c>
      <c r="K270" s="33">
        <f>SUMIFS($J$2:J270,$C$2:C270,C270)</f>
        <v>0</v>
      </c>
    </row>
    <row r="271" spans="1:11" ht="60">
      <c r="A271" s="17">
        <f t="shared" si="4"/>
        <v>23</v>
      </c>
      <c r="B271" s="14" t="s">
        <v>11</v>
      </c>
      <c r="C271" s="1" t="s">
        <v>82</v>
      </c>
      <c r="D271" s="1" t="s">
        <v>83</v>
      </c>
      <c r="F271" t="s">
        <v>84</v>
      </c>
      <c r="G271" s="3" t="s">
        <v>176</v>
      </c>
      <c r="H271" s="2">
        <v>46174</v>
      </c>
      <c r="I271" s="36">
        <v>0.65</v>
      </c>
      <c r="J271" s="36">
        <v>0</v>
      </c>
      <c r="K271" s="33">
        <f>SUMIFS($J$2:J271,$C$2:C271,C271)</f>
        <v>0</v>
      </c>
    </row>
    <row r="272" spans="1:11" ht="60">
      <c r="A272" s="17">
        <f t="shared" si="4"/>
        <v>23</v>
      </c>
      <c r="B272" s="14" t="s">
        <v>11</v>
      </c>
      <c r="C272" s="1" t="s">
        <v>82</v>
      </c>
      <c r="D272" s="1" t="s">
        <v>83</v>
      </c>
      <c r="F272" t="s">
        <v>84</v>
      </c>
      <c r="G272" s="3" t="s">
        <v>176</v>
      </c>
      <c r="H272" s="2">
        <v>46204</v>
      </c>
      <c r="I272" s="36">
        <v>0.65</v>
      </c>
      <c r="J272" s="36">
        <v>0</v>
      </c>
      <c r="K272" s="33">
        <f>SUMIFS($J$2:J272,$C$2:C272,C272)</f>
        <v>0</v>
      </c>
    </row>
    <row r="273" spans="1:11" ht="60">
      <c r="A273" s="17">
        <f t="shared" si="4"/>
        <v>23</v>
      </c>
      <c r="B273" s="14" t="s">
        <v>11</v>
      </c>
      <c r="C273" s="1" t="s">
        <v>82</v>
      </c>
      <c r="D273" s="1" t="s">
        <v>83</v>
      </c>
      <c r="F273" t="s">
        <v>84</v>
      </c>
      <c r="G273" s="3" t="s">
        <v>176</v>
      </c>
      <c r="H273" s="2">
        <v>46235</v>
      </c>
      <c r="I273" s="36">
        <v>0.65</v>
      </c>
      <c r="J273" s="36">
        <v>0</v>
      </c>
      <c r="K273" s="33">
        <f>SUMIFS($J$2:J273,$C$2:C273,C273)</f>
        <v>0</v>
      </c>
    </row>
    <row r="274" spans="1:11" ht="60">
      <c r="A274" s="17">
        <f t="shared" si="4"/>
        <v>23</v>
      </c>
      <c r="B274" s="14" t="s">
        <v>11</v>
      </c>
      <c r="C274" s="1" t="s">
        <v>82</v>
      </c>
      <c r="D274" s="1" t="s">
        <v>83</v>
      </c>
      <c r="F274" t="s">
        <v>84</v>
      </c>
      <c r="G274" s="3" t="s">
        <v>176</v>
      </c>
      <c r="H274" s="2">
        <v>46266</v>
      </c>
      <c r="I274" s="36">
        <v>0.65</v>
      </c>
      <c r="J274" s="36">
        <v>0</v>
      </c>
      <c r="K274" s="33">
        <f>SUMIFS($J$2:J274,$C$2:C274,C274)</f>
        <v>0</v>
      </c>
    </row>
    <row r="275" spans="1:11" ht="60">
      <c r="A275" s="17">
        <f t="shared" si="4"/>
        <v>23</v>
      </c>
      <c r="B275" s="14" t="s">
        <v>11</v>
      </c>
      <c r="C275" s="1" t="s">
        <v>82</v>
      </c>
      <c r="D275" s="1" t="s">
        <v>83</v>
      </c>
      <c r="F275" t="s">
        <v>84</v>
      </c>
      <c r="G275" s="3" t="s">
        <v>176</v>
      </c>
      <c r="H275" s="2">
        <v>46296</v>
      </c>
      <c r="I275" s="36">
        <v>0.65</v>
      </c>
      <c r="J275" s="36">
        <v>0</v>
      </c>
      <c r="K275" s="33">
        <f>SUMIFS($J$2:J275,$C$2:C275,C275)</f>
        <v>0</v>
      </c>
    </row>
    <row r="276" spans="1:11" ht="60">
      <c r="A276" s="17">
        <f t="shared" si="4"/>
        <v>23</v>
      </c>
      <c r="B276" s="14" t="s">
        <v>11</v>
      </c>
      <c r="C276" s="1" t="s">
        <v>82</v>
      </c>
      <c r="D276" s="1" t="s">
        <v>83</v>
      </c>
      <c r="F276" t="s">
        <v>84</v>
      </c>
      <c r="G276" s="3" t="s">
        <v>176</v>
      </c>
      <c r="H276" s="2">
        <v>46327</v>
      </c>
      <c r="I276" s="36">
        <v>0.65</v>
      </c>
      <c r="J276" s="36">
        <v>0</v>
      </c>
      <c r="K276" s="33">
        <f>SUMIFS($J$2:J276,$C$2:C276,C276)</f>
        <v>0</v>
      </c>
    </row>
    <row r="277" spans="1:11" ht="60">
      <c r="A277" s="17">
        <f t="shared" si="4"/>
        <v>23</v>
      </c>
      <c r="B277" s="14" t="s">
        <v>11</v>
      </c>
      <c r="C277" s="1" t="s">
        <v>82</v>
      </c>
      <c r="D277" s="1" t="s">
        <v>83</v>
      </c>
      <c r="F277" t="s">
        <v>84</v>
      </c>
      <c r="G277" s="3" t="s">
        <v>176</v>
      </c>
      <c r="H277" s="2">
        <v>46357</v>
      </c>
      <c r="I277" s="36">
        <v>0.65</v>
      </c>
      <c r="J277" s="36">
        <v>0</v>
      </c>
      <c r="K277" s="33">
        <f>SUMIFS($J$2:J277,$C$2:C277,C277)</f>
        <v>0</v>
      </c>
    </row>
    <row r="278" spans="1:11" ht="50.1" hidden="1" customHeight="1">
      <c r="A278" s="17">
        <f t="shared" si="4"/>
        <v>24</v>
      </c>
      <c r="B278" s="14" t="s">
        <v>10</v>
      </c>
      <c r="C278" s="1" t="s">
        <v>85</v>
      </c>
      <c r="D278" s="1" t="s">
        <v>86</v>
      </c>
      <c r="E278" t="s">
        <v>87</v>
      </c>
      <c r="F278" t="s">
        <v>84</v>
      </c>
      <c r="G278" s="3" t="s">
        <v>176</v>
      </c>
      <c r="H278" s="2">
        <v>46023</v>
      </c>
      <c r="I278" s="36"/>
      <c r="J278" s="36">
        <v>0</v>
      </c>
      <c r="K278" s="33">
        <f>SUMIFS($J$2:J278,$C$2:C278,C278)</f>
        <v>0</v>
      </c>
    </row>
    <row r="279" spans="1:11" ht="50.1" hidden="1" customHeight="1">
      <c r="A279" s="17">
        <f t="shared" si="4"/>
        <v>24</v>
      </c>
      <c r="B279" s="14" t="s">
        <v>10</v>
      </c>
      <c r="C279" s="1" t="s">
        <v>85</v>
      </c>
      <c r="D279" s="1" t="s">
        <v>86</v>
      </c>
      <c r="E279" t="s">
        <v>87</v>
      </c>
      <c r="F279" t="s">
        <v>84</v>
      </c>
      <c r="G279" s="3" t="s">
        <v>176</v>
      </c>
      <c r="H279" s="2">
        <v>46054</v>
      </c>
      <c r="I279" s="36"/>
      <c r="J279" s="36">
        <v>0</v>
      </c>
      <c r="K279" s="33">
        <f>SUMIFS($J$2:J279,$C$2:C279,C279)</f>
        <v>0</v>
      </c>
    </row>
    <row r="280" spans="1:11" ht="50.1" hidden="1" customHeight="1">
      <c r="A280" s="17">
        <f t="shared" si="4"/>
        <v>24</v>
      </c>
      <c r="B280" s="14" t="s">
        <v>10</v>
      </c>
      <c r="C280" s="1" t="s">
        <v>85</v>
      </c>
      <c r="D280" s="1" t="s">
        <v>86</v>
      </c>
      <c r="E280" s="1" t="s">
        <v>87</v>
      </c>
      <c r="F280" t="s">
        <v>84</v>
      </c>
      <c r="G280" s="3" t="s">
        <v>176</v>
      </c>
      <c r="H280" s="2">
        <v>46082</v>
      </c>
      <c r="I280" s="36"/>
      <c r="J280" s="36">
        <v>0</v>
      </c>
      <c r="K280" s="33">
        <f>SUMIFS($J$2:J280,$C$2:C280,C280)</f>
        <v>0</v>
      </c>
    </row>
    <row r="281" spans="1:11" ht="50.1" hidden="1" customHeight="1">
      <c r="A281" s="17">
        <f t="shared" si="4"/>
        <v>24</v>
      </c>
      <c r="B281" s="14" t="s">
        <v>10</v>
      </c>
      <c r="C281" s="1" t="s">
        <v>85</v>
      </c>
      <c r="D281" s="1" t="s">
        <v>86</v>
      </c>
      <c r="E281" t="s">
        <v>87</v>
      </c>
      <c r="F281" t="s">
        <v>84</v>
      </c>
      <c r="G281" s="3" t="s">
        <v>176</v>
      </c>
      <c r="H281" s="2">
        <v>46113</v>
      </c>
      <c r="I281" s="36"/>
      <c r="J281" s="36">
        <v>0</v>
      </c>
      <c r="K281" s="33">
        <f>SUMIFS($J$2:J281,$C$2:C281,C281)</f>
        <v>0</v>
      </c>
    </row>
    <row r="282" spans="1:11" ht="50.1" hidden="1" customHeight="1">
      <c r="A282" s="17">
        <f t="shared" si="4"/>
        <v>24</v>
      </c>
      <c r="B282" s="14" t="s">
        <v>10</v>
      </c>
      <c r="C282" s="1" t="s">
        <v>85</v>
      </c>
      <c r="D282" s="1" t="s">
        <v>86</v>
      </c>
      <c r="E282" t="s">
        <v>87</v>
      </c>
      <c r="F282" t="s">
        <v>84</v>
      </c>
      <c r="G282" s="3" t="s">
        <v>176</v>
      </c>
      <c r="H282" s="2">
        <v>46143</v>
      </c>
      <c r="I282" s="36">
        <v>1</v>
      </c>
      <c r="J282" s="36">
        <v>0</v>
      </c>
      <c r="K282" s="33">
        <f>SUMIFS($J$2:J282,$C$2:C282,C282)</f>
        <v>0</v>
      </c>
    </row>
    <row r="283" spans="1:11" ht="50.1" hidden="1" customHeight="1">
      <c r="A283" s="17">
        <f t="shared" si="4"/>
        <v>24</v>
      </c>
      <c r="B283" s="14" t="s">
        <v>10</v>
      </c>
      <c r="C283" s="1" t="s">
        <v>85</v>
      </c>
      <c r="D283" s="1" t="s">
        <v>86</v>
      </c>
      <c r="E283" t="s">
        <v>87</v>
      </c>
      <c r="F283" t="s">
        <v>84</v>
      </c>
      <c r="G283" s="3" t="s">
        <v>176</v>
      </c>
      <c r="H283" s="2">
        <v>46174</v>
      </c>
      <c r="I283" s="36"/>
      <c r="J283" s="36">
        <v>0</v>
      </c>
      <c r="K283" s="33">
        <f>SUMIFS($J$2:J283,$C$2:C283,C283)</f>
        <v>0</v>
      </c>
    </row>
    <row r="284" spans="1:11" ht="50.1" hidden="1" customHeight="1">
      <c r="A284" s="17">
        <f t="shared" si="4"/>
        <v>24</v>
      </c>
      <c r="B284" s="14" t="s">
        <v>10</v>
      </c>
      <c r="C284" s="1" t="s">
        <v>85</v>
      </c>
      <c r="D284" s="1" t="s">
        <v>86</v>
      </c>
      <c r="E284" t="s">
        <v>87</v>
      </c>
      <c r="F284" t="s">
        <v>84</v>
      </c>
      <c r="G284" s="3" t="s">
        <v>176</v>
      </c>
      <c r="H284" s="2">
        <v>46204</v>
      </c>
      <c r="I284" s="36"/>
      <c r="J284" s="36">
        <v>0</v>
      </c>
      <c r="K284" s="33">
        <f>SUMIFS($J$2:J284,$C$2:C284,C284)</f>
        <v>0</v>
      </c>
    </row>
    <row r="285" spans="1:11" ht="50.1" hidden="1" customHeight="1">
      <c r="A285" s="17">
        <f t="shared" si="4"/>
        <v>24</v>
      </c>
      <c r="B285" s="14" t="s">
        <v>10</v>
      </c>
      <c r="C285" s="1" t="s">
        <v>85</v>
      </c>
      <c r="D285" s="1" t="s">
        <v>86</v>
      </c>
      <c r="E285" t="s">
        <v>87</v>
      </c>
      <c r="F285" t="s">
        <v>84</v>
      </c>
      <c r="G285" s="3" t="s">
        <v>176</v>
      </c>
      <c r="H285" s="2">
        <v>46235</v>
      </c>
      <c r="I285" s="36"/>
      <c r="J285" s="36">
        <v>0</v>
      </c>
      <c r="K285" s="33">
        <f>SUMIFS($J$2:J285,$C$2:C285,C285)</f>
        <v>0</v>
      </c>
    </row>
    <row r="286" spans="1:11" ht="50.1" hidden="1" customHeight="1">
      <c r="A286" s="17">
        <f t="shared" si="4"/>
        <v>24</v>
      </c>
      <c r="B286" s="14" t="s">
        <v>10</v>
      </c>
      <c r="C286" s="1" t="s">
        <v>85</v>
      </c>
      <c r="D286" s="1" t="s">
        <v>86</v>
      </c>
      <c r="E286" t="s">
        <v>87</v>
      </c>
      <c r="F286" t="s">
        <v>84</v>
      </c>
      <c r="G286" s="3" t="s">
        <v>176</v>
      </c>
      <c r="H286" s="2">
        <v>46266</v>
      </c>
      <c r="I286" s="36"/>
      <c r="J286" s="36">
        <v>0</v>
      </c>
      <c r="K286" s="33">
        <f>SUMIFS($J$2:J286,$C$2:C286,C286)</f>
        <v>0</v>
      </c>
    </row>
    <row r="287" spans="1:11" ht="50.1" hidden="1" customHeight="1">
      <c r="A287" s="17">
        <f t="shared" si="4"/>
        <v>24</v>
      </c>
      <c r="B287" s="14" t="s">
        <v>10</v>
      </c>
      <c r="C287" s="1" t="s">
        <v>85</v>
      </c>
      <c r="D287" s="1" t="s">
        <v>86</v>
      </c>
      <c r="E287" t="s">
        <v>87</v>
      </c>
      <c r="F287" t="s">
        <v>84</v>
      </c>
      <c r="G287" s="3" t="s">
        <v>176</v>
      </c>
      <c r="H287" s="2">
        <v>46296</v>
      </c>
      <c r="I287" s="36"/>
      <c r="J287" s="36">
        <v>0</v>
      </c>
      <c r="K287" s="33">
        <f>SUMIFS($J$2:J287,$C$2:C287,C287)</f>
        <v>0</v>
      </c>
    </row>
    <row r="288" spans="1:11" ht="50.1" hidden="1" customHeight="1">
      <c r="A288" s="17">
        <f t="shared" si="4"/>
        <v>24</v>
      </c>
      <c r="B288" s="14" t="s">
        <v>10</v>
      </c>
      <c r="C288" s="1" t="s">
        <v>85</v>
      </c>
      <c r="D288" s="1" t="s">
        <v>86</v>
      </c>
      <c r="E288" t="s">
        <v>87</v>
      </c>
      <c r="F288" t="s">
        <v>84</v>
      </c>
      <c r="G288" s="3" t="s">
        <v>176</v>
      </c>
      <c r="H288" s="2">
        <v>46327</v>
      </c>
      <c r="I288" s="36"/>
      <c r="J288" s="36">
        <v>0</v>
      </c>
      <c r="K288" s="33">
        <f>SUMIFS($J$2:J288,$C$2:C288,C288)</f>
        <v>0</v>
      </c>
    </row>
    <row r="289" spans="1:11" ht="50.1" hidden="1" customHeight="1">
      <c r="A289" s="17">
        <f t="shared" si="4"/>
        <v>24</v>
      </c>
      <c r="B289" s="14" t="s">
        <v>10</v>
      </c>
      <c r="C289" s="1" t="s">
        <v>85</v>
      </c>
      <c r="D289" s="1" t="s">
        <v>86</v>
      </c>
      <c r="E289" t="s">
        <v>87</v>
      </c>
      <c r="F289" t="s">
        <v>84</v>
      </c>
      <c r="G289" s="3" t="s">
        <v>176</v>
      </c>
      <c r="H289" s="2">
        <v>46357</v>
      </c>
      <c r="I289" s="36"/>
      <c r="J289" s="36">
        <v>0</v>
      </c>
      <c r="K289" s="33">
        <f>SUMIFS($J$2:J289,$C$2:C289,C289)</f>
        <v>0</v>
      </c>
    </row>
    <row r="290" spans="1:11" ht="50.1" hidden="1" customHeight="1">
      <c r="A290" s="17">
        <f t="shared" si="4"/>
        <v>25</v>
      </c>
      <c r="B290" s="14" t="s">
        <v>10</v>
      </c>
      <c r="C290" s="1" t="s">
        <v>88</v>
      </c>
      <c r="D290" s="1" t="s">
        <v>89</v>
      </c>
      <c r="E290" s="1" t="s">
        <v>178</v>
      </c>
      <c r="F290" t="s">
        <v>84</v>
      </c>
      <c r="G290" s="3" t="s">
        <v>176</v>
      </c>
      <c r="H290" s="2">
        <v>46023</v>
      </c>
      <c r="I290" s="36"/>
      <c r="J290" s="36">
        <v>0</v>
      </c>
      <c r="K290" s="33">
        <f>SUMIFS($J$2:J290,$C$2:C290,C290)</f>
        <v>0</v>
      </c>
    </row>
    <row r="291" spans="1:11" ht="50.1" hidden="1" customHeight="1">
      <c r="A291" s="17">
        <f t="shared" si="4"/>
        <v>25</v>
      </c>
      <c r="B291" s="14" t="s">
        <v>10</v>
      </c>
      <c r="C291" s="1" t="s">
        <v>88</v>
      </c>
      <c r="D291" s="1" t="s">
        <v>89</v>
      </c>
      <c r="E291" s="1" t="s">
        <v>178</v>
      </c>
      <c r="F291" t="s">
        <v>84</v>
      </c>
      <c r="G291" s="3" t="s">
        <v>176</v>
      </c>
      <c r="H291" s="2">
        <v>46054</v>
      </c>
      <c r="I291" s="36"/>
      <c r="J291" s="36">
        <v>0</v>
      </c>
      <c r="K291" s="33">
        <f>SUMIFS($J$2:J291,$C$2:C291,C291)</f>
        <v>0</v>
      </c>
    </row>
    <row r="292" spans="1:11" ht="50.1" hidden="1" customHeight="1">
      <c r="A292" s="17">
        <f t="shared" si="4"/>
        <v>25</v>
      </c>
      <c r="B292" s="14" t="s">
        <v>10</v>
      </c>
      <c r="C292" s="1" t="s">
        <v>88</v>
      </c>
      <c r="D292" s="1" t="s">
        <v>89</v>
      </c>
      <c r="E292" s="1" t="s">
        <v>178</v>
      </c>
      <c r="F292" t="s">
        <v>84</v>
      </c>
      <c r="G292" s="3" t="s">
        <v>176</v>
      </c>
      <c r="H292" s="2">
        <v>46082</v>
      </c>
      <c r="I292" s="36"/>
      <c r="J292" s="36">
        <v>0</v>
      </c>
      <c r="K292" s="33">
        <f>SUMIFS($J$2:J292,$C$2:C292,C292)</f>
        <v>0</v>
      </c>
    </row>
    <row r="293" spans="1:11" ht="50.1" hidden="1" customHeight="1">
      <c r="A293" s="17">
        <f t="shared" si="4"/>
        <v>25</v>
      </c>
      <c r="B293" s="14" t="s">
        <v>10</v>
      </c>
      <c r="C293" s="1" t="s">
        <v>88</v>
      </c>
      <c r="D293" s="1" t="s">
        <v>89</v>
      </c>
      <c r="E293" s="1" t="s">
        <v>178</v>
      </c>
      <c r="F293" t="s">
        <v>84</v>
      </c>
      <c r="G293" s="3" t="s">
        <v>176</v>
      </c>
      <c r="H293" s="2">
        <v>46113</v>
      </c>
      <c r="I293" s="36"/>
      <c r="J293" s="36">
        <v>0</v>
      </c>
      <c r="K293" s="33">
        <f>SUMIFS($J$2:J293,$C$2:C293,C293)</f>
        <v>0</v>
      </c>
    </row>
    <row r="294" spans="1:11" ht="50.1" hidden="1" customHeight="1">
      <c r="A294" s="17">
        <f t="shared" si="4"/>
        <v>25</v>
      </c>
      <c r="B294" s="14" t="s">
        <v>10</v>
      </c>
      <c r="C294" s="1" t="s">
        <v>88</v>
      </c>
      <c r="D294" s="1" t="s">
        <v>89</v>
      </c>
      <c r="E294" s="1" t="s">
        <v>178</v>
      </c>
      <c r="F294" t="s">
        <v>84</v>
      </c>
      <c r="G294" s="3" t="s">
        <v>176</v>
      </c>
      <c r="H294" s="2">
        <v>46143</v>
      </c>
      <c r="I294" s="36"/>
      <c r="J294" s="36">
        <v>0</v>
      </c>
      <c r="K294" s="33">
        <f>SUMIFS($J$2:J294,$C$2:C294,C294)</f>
        <v>0</v>
      </c>
    </row>
    <row r="295" spans="1:11" ht="50.1" hidden="1" customHeight="1">
      <c r="A295" s="17">
        <f t="shared" si="4"/>
        <v>25</v>
      </c>
      <c r="B295" s="14" t="s">
        <v>10</v>
      </c>
      <c r="C295" s="1" t="s">
        <v>88</v>
      </c>
      <c r="D295" s="1" t="s">
        <v>89</v>
      </c>
      <c r="E295" s="1" t="s">
        <v>178</v>
      </c>
      <c r="F295" t="s">
        <v>84</v>
      </c>
      <c r="G295" s="3" t="s">
        <v>176</v>
      </c>
      <c r="H295" s="2">
        <v>46174</v>
      </c>
      <c r="I295" s="36"/>
      <c r="J295" s="36">
        <v>0</v>
      </c>
      <c r="K295" s="33">
        <f>SUMIFS($J$2:J295,$C$2:C295,C295)</f>
        <v>0</v>
      </c>
    </row>
    <row r="296" spans="1:11" ht="50.1" hidden="1" customHeight="1">
      <c r="A296" s="17">
        <f t="shared" si="4"/>
        <v>25</v>
      </c>
      <c r="B296" s="14" t="s">
        <v>10</v>
      </c>
      <c r="C296" s="1" t="s">
        <v>88</v>
      </c>
      <c r="D296" s="1" t="s">
        <v>89</v>
      </c>
      <c r="E296" s="1" t="s">
        <v>178</v>
      </c>
      <c r="F296" t="s">
        <v>84</v>
      </c>
      <c r="G296" s="3" t="s">
        <v>176</v>
      </c>
      <c r="H296" s="2">
        <v>46204</v>
      </c>
      <c r="I296" s="36">
        <v>0.25</v>
      </c>
      <c r="J296" s="36">
        <v>0</v>
      </c>
      <c r="K296" s="33">
        <f>SUMIFS($J$2:J296,$C$2:C296,C296)</f>
        <v>0</v>
      </c>
    </row>
    <row r="297" spans="1:11" ht="50.1" hidden="1" customHeight="1">
      <c r="A297" s="17">
        <f t="shared" si="4"/>
        <v>25</v>
      </c>
      <c r="B297" s="14" t="s">
        <v>10</v>
      </c>
      <c r="C297" s="1" t="s">
        <v>88</v>
      </c>
      <c r="D297" s="1" t="s">
        <v>89</v>
      </c>
      <c r="E297" s="1" t="s">
        <v>178</v>
      </c>
      <c r="F297" t="s">
        <v>84</v>
      </c>
      <c r="G297" s="3" t="s">
        <v>176</v>
      </c>
      <c r="H297" s="2">
        <v>46235</v>
      </c>
      <c r="I297" s="36"/>
      <c r="J297" s="36">
        <v>0</v>
      </c>
      <c r="K297" s="33">
        <f>SUMIFS($J$2:J297,$C$2:C297,C297)</f>
        <v>0</v>
      </c>
    </row>
    <row r="298" spans="1:11" ht="50.1" hidden="1" customHeight="1">
      <c r="A298" s="17">
        <f t="shared" si="4"/>
        <v>25</v>
      </c>
      <c r="B298" s="14" t="s">
        <v>10</v>
      </c>
      <c r="C298" s="1" t="s">
        <v>88</v>
      </c>
      <c r="D298" s="1" t="s">
        <v>89</v>
      </c>
      <c r="E298" s="1" t="s">
        <v>178</v>
      </c>
      <c r="F298" t="s">
        <v>84</v>
      </c>
      <c r="G298" s="3" t="s">
        <v>176</v>
      </c>
      <c r="H298" s="2">
        <v>46266</v>
      </c>
      <c r="I298" s="36">
        <v>0.25</v>
      </c>
      <c r="J298" s="36">
        <v>0</v>
      </c>
      <c r="K298" s="33">
        <f>SUMIFS($J$2:J298,$C$2:C298,C298)</f>
        <v>0</v>
      </c>
    </row>
    <row r="299" spans="1:11" ht="50.1" hidden="1" customHeight="1">
      <c r="A299" s="17">
        <f t="shared" si="4"/>
        <v>25</v>
      </c>
      <c r="B299" s="14" t="s">
        <v>10</v>
      </c>
      <c r="C299" s="1" t="s">
        <v>88</v>
      </c>
      <c r="D299" s="1" t="s">
        <v>89</v>
      </c>
      <c r="E299" s="1" t="s">
        <v>178</v>
      </c>
      <c r="F299" t="s">
        <v>84</v>
      </c>
      <c r="G299" s="3" t="s">
        <v>176</v>
      </c>
      <c r="H299" s="2">
        <v>46296</v>
      </c>
      <c r="I299" s="36"/>
      <c r="J299" s="36">
        <v>0</v>
      </c>
      <c r="K299" s="33">
        <f>SUMIFS($J$2:J299,$C$2:C299,C299)</f>
        <v>0</v>
      </c>
    </row>
    <row r="300" spans="1:11" ht="50.1" hidden="1" customHeight="1">
      <c r="A300" s="17">
        <f t="shared" si="4"/>
        <v>25</v>
      </c>
      <c r="B300" s="14" t="s">
        <v>10</v>
      </c>
      <c r="C300" s="1" t="s">
        <v>88</v>
      </c>
      <c r="D300" s="1" t="s">
        <v>89</v>
      </c>
      <c r="E300" s="1" t="s">
        <v>178</v>
      </c>
      <c r="F300" t="s">
        <v>84</v>
      </c>
      <c r="G300" s="3" t="s">
        <v>176</v>
      </c>
      <c r="H300" s="2">
        <v>46327</v>
      </c>
      <c r="I300" s="36"/>
      <c r="J300" s="36">
        <v>0</v>
      </c>
      <c r="K300" s="33">
        <f>SUMIFS($J$2:J300,$C$2:C300,C300)</f>
        <v>0</v>
      </c>
    </row>
    <row r="301" spans="1:11" ht="50.1" hidden="1" customHeight="1">
      <c r="A301" s="17">
        <f t="shared" si="4"/>
        <v>25</v>
      </c>
      <c r="B301" s="14" t="s">
        <v>10</v>
      </c>
      <c r="C301" s="1" t="s">
        <v>88</v>
      </c>
      <c r="D301" s="1" t="s">
        <v>89</v>
      </c>
      <c r="E301" s="1" t="s">
        <v>178</v>
      </c>
      <c r="F301" t="s">
        <v>84</v>
      </c>
      <c r="G301" s="3" t="s">
        <v>176</v>
      </c>
      <c r="H301" s="2">
        <v>46357</v>
      </c>
      <c r="I301" s="36">
        <v>0.5</v>
      </c>
      <c r="J301" s="36">
        <v>0</v>
      </c>
      <c r="K301" s="33">
        <f>SUMIFS($J$2:J301,$C$2:C301,C301)</f>
        <v>0</v>
      </c>
    </row>
    <row r="302" spans="1:11" ht="50.1" hidden="1" customHeight="1">
      <c r="A302" s="17">
        <f t="shared" si="4"/>
        <v>26</v>
      </c>
      <c r="B302" s="14" t="s">
        <v>10</v>
      </c>
      <c r="C302" s="1" t="s">
        <v>90</v>
      </c>
      <c r="D302" s="1" t="s">
        <v>91</v>
      </c>
      <c r="E302" t="s">
        <v>92</v>
      </c>
      <c r="F302" t="s">
        <v>93</v>
      </c>
      <c r="G302" s="3" t="s">
        <v>176</v>
      </c>
      <c r="H302" s="2">
        <v>46023</v>
      </c>
      <c r="I302" s="36"/>
      <c r="J302" s="36">
        <v>0</v>
      </c>
      <c r="K302" s="33">
        <f>SUMIFS($J$2:J302,$C$2:C302,C302)</f>
        <v>0</v>
      </c>
    </row>
    <row r="303" spans="1:11" ht="50.1" hidden="1" customHeight="1">
      <c r="A303" s="17">
        <f t="shared" si="4"/>
        <v>26</v>
      </c>
      <c r="B303" s="14" t="s">
        <v>10</v>
      </c>
      <c r="C303" s="1" t="s">
        <v>90</v>
      </c>
      <c r="D303" s="1" t="s">
        <v>91</v>
      </c>
      <c r="E303" t="s">
        <v>92</v>
      </c>
      <c r="F303" t="s">
        <v>93</v>
      </c>
      <c r="G303" s="3" t="s">
        <v>176</v>
      </c>
      <c r="H303" s="2">
        <v>46054</v>
      </c>
      <c r="I303" s="36"/>
      <c r="J303" s="36">
        <v>0</v>
      </c>
      <c r="K303" s="33">
        <f>SUMIFS($J$2:J303,$C$2:C303,C303)</f>
        <v>0</v>
      </c>
    </row>
    <row r="304" spans="1:11" ht="50.1" hidden="1" customHeight="1">
      <c r="A304" s="17">
        <f t="shared" si="4"/>
        <v>26</v>
      </c>
      <c r="B304" s="14" t="s">
        <v>10</v>
      </c>
      <c r="C304" s="1" t="s">
        <v>90</v>
      </c>
      <c r="D304" s="1" t="s">
        <v>91</v>
      </c>
      <c r="E304" t="s">
        <v>92</v>
      </c>
      <c r="F304" t="s">
        <v>93</v>
      </c>
      <c r="G304" s="3" t="s">
        <v>176</v>
      </c>
      <c r="H304" s="2">
        <v>46082</v>
      </c>
      <c r="I304" s="36"/>
      <c r="J304" s="36">
        <v>0</v>
      </c>
      <c r="K304" s="33">
        <f>SUMIFS($J$2:J304,$C$2:C304,C304)</f>
        <v>0</v>
      </c>
    </row>
    <row r="305" spans="1:11" ht="50.1" hidden="1" customHeight="1">
      <c r="A305" s="17">
        <f t="shared" si="4"/>
        <v>26</v>
      </c>
      <c r="B305" s="14" t="s">
        <v>10</v>
      </c>
      <c r="C305" s="1" t="s">
        <v>90</v>
      </c>
      <c r="D305" s="1" t="s">
        <v>91</v>
      </c>
      <c r="E305" t="s">
        <v>92</v>
      </c>
      <c r="F305" t="s">
        <v>93</v>
      </c>
      <c r="G305" s="3" t="s">
        <v>176</v>
      </c>
      <c r="H305" s="2">
        <v>46113</v>
      </c>
      <c r="I305" s="36"/>
      <c r="J305" s="36">
        <v>0</v>
      </c>
      <c r="K305" s="33">
        <f>SUMIFS($J$2:J305,$C$2:C305,C305)</f>
        <v>0</v>
      </c>
    </row>
    <row r="306" spans="1:11" ht="50.1" hidden="1" customHeight="1">
      <c r="A306" s="17">
        <f t="shared" si="4"/>
        <v>26</v>
      </c>
      <c r="B306" s="14" t="s">
        <v>10</v>
      </c>
      <c r="C306" s="1" t="s">
        <v>90</v>
      </c>
      <c r="D306" s="1" t="s">
        <v>91</v>
      </c>
      <c r="E306" t="s">
        <v>92</v>
      </c>
      <c r="F306" t="s">
        <v>93</v>
      </c>
      <c r="G306" s="3" t="s">
        <v>176</v>
      </c>
      <c r="H306" s="2">
        <v>46143</v>
      </c>
      <c r="I306" s="36">
        <v>0.8</v>
      </c>
      <c r="J306" s="36">
        <v>0</v>
      </c>
      <c r="K306" s="33">
        <f>SUMIFS($J$2:J306,$C$2:C306,C306)</f>
        <v>0</v>
      </c>
    </row>
    <row r="307" spans="1:11" ht="50.1" hidden="1" customHeight="1">
      <c r="A307" s="17">
        <f t="shared" si="4"/>
        <v>26</v>
      </c>
      <c r="B307" s="14" t="s">
        <v>10</v>
      </c>
      <c r="C307" s="1" t="s">
        <v>90</v>
      </c>
      <c r="D307" s="1" t="s">
        <v>91</v>
      </c>
      <c r="E307" t="s">
        <v>92</v>
      </c>
      <c r="F307" t="s">
        <v>93</v>
      </c>
      <c r="G307" s="3" t="s">
        <v>176</v>
      </c>
      <c r="H307" s="2">
        <v>46174</v>
      </c>
      <c r="I307" s="36"/>
      <c r="J307" s="36">
        <v>0</v>
      </c>
      <c r="K307" s="33">
        <f>SUMIFS($J$2:J307,$C$2:C307,C307)</f>
        <v>0</v>
      </c>
    </row>
    <row r="308" spans="1:11" ht="50.1" hidden="1" customHeight="1">
      <c r="A308" s="17">
        <f t="shared" si="4"/>
        <v>26</v>
      </c>
      <c r="B308" s="14" t="s">
        <v>10</v>
      </c>
      <c r="C308" s="1" t="s">
        <v>90</v>
      </c>
      <c r="D308" s="1" t="s">
        <v>91</v>
      </c>
      <c r="E308" t="s">
        <v>92</v>
      </c>
      <c r="F308" t="s">
        <v>93</v>
      </c>
      <c r="G308" s="3" t="s">
        <v>176</v>
      </c>
      <c r="H308" s="2">
        <v>46204</v>
      </c>
      <c r="I308" s="36">
        <v>0.2</v>
      </c>
      <c r="J308" s="36">
        <v>0</v>
      </c>
      <c r="K308" s="33">
        <f>SUMIFS($J$2:J308,$C$2:C308,C308)</f>
        <v>0</v>
      </c>
    </row>
    <row r="309" spans="1:11" ht="50.1" hidden="1" customHeight="1">
      <c r="A309" s="17">
        <f t="shared" si="4"/>
        <v>26</v>
      </c>
      <c r="B309" s="14" t="s">
        <v>10</v>
      </c>
      <c r="C309" s="1" t="s">
        <v>90</v>
      </c>
      <c r="D309" s="1" t="s">
        <v>91</v>
      </c>
      <c r="E309" t="s">
        <v>92</v>
      </c>
      <c r="F309" t="s">
        <v>93</v>
      </c>
      <c r="G309" s="3" t="s">
        <v>176</v>
      </c>
      <c r="H309" s="2">
        <v>46235</v>
      </c>
      <c r="I309" s="36"/>
      <c r="J309" s="36">
        <v>0</v>
      </c>
      <c r="K309" s="33">
        <f>SUMIFS($J$2:J309,$C$2:C309,C309)</f>
        <v>0</v>
      </c>
    </row>
    <row r="310" spans="1:11" ht="50.1" hidden="1" customHeight="1">
      <c r="A310" s="17">
        <f t="shared" si="4"/>
        <v>26</v>
      </c>
      <c r="B310" s="14" t="s">
        <v>10</v>
      </c>
      <c r="C310" s="1" t="s">
        <v>90</v>
      </c>
      <c r="D310" s="1" t="s">
        <v>91</v>
      </c>
      <c r="E310" t="s">
        <v>92</v>
      </c>
      <c r="F310" t="s">
        <v>93</v>
      </c>
      <c r="G310" s="3" t="s">
        <v>176</v>
      </c>
      <c r="H310" s="2">
        <v>46266</v>
      </c>
      <c r="I310" s="36"/>
      <c r="J310" s="36">
        <v>0</v>
      </c>
      <c r="K310" s="33">
        <f>SUMIFS($J$2:J310,$C$2:C310,C310)</f>
        <v>0</v>
      </c>
    </row>
    <row r="311" spans="1:11" ht="50.1" hidden="1" customHeight="1">
      <c r="A311" s="17">
        <f t="shared" si="4"/>
        <v>26</v>
      </c>
      <c r="B311" s="14" t="s">
        <v>10</v>
      </c>
      <c r="C311" s="1" t="s">
        <v>90</v>
      </c>
      <c r="D311" s="1" t="s">
        <v>91</v>
      </c>
      <c r="E311" t="s">
        <v>92</v>
      </c>
      <c r="F311" t="s">
        <v>93</v>
      </c>
      <c r="G311" s="3" t="s">
        <v>176</v>
      </c>
      <c r="H311" s="2">
        <v>46296</v>
      </c>
      <c r="I311" s="36"/>
      <c r="J311" s="36">
        <v>0</v>
      </c>
      <c r="K311" s="33">
        <f>SUMIFS($J$2:J311,$C$2:C311,C311)</f>
        <v>0</v>
      </c>
    </row>
    <row r="312" spans="1:11" ht="50.1" hidden="1" customHeight="1">
      <c r="A312" s="17">
        <f t="shared" si="4"/>
        <v>26</v>
      </c>
      <c r="B312" s="14" t="s">
        <v>10</v>
      </c>
      <c r="C312" s="1" t="s">
        <v>90</v>
      </c>
      <c r="D312" s="1" t="s">
        <v>91</v>
      </c>
      <c r="E312" t="s">
        <v>92</v>
      </c>
      <c r="F312" t="s">
        <v>93</v>
      </c>
      <c r="G312" s="3" t="s">
        <v>176</v>
      </c>
      <c r="H312" s="2">
        <v>46327</v>
      </c>
      <c r="I312" s="36"/>
      <c r="J312" s="36">
        <v>0</v>
      </c>
      <c r="K312" s="33">
        <f>SUMIFS($J$2:J312,$C$2:C312,C312)</f>
        <v>0</v>
      </c>
    </row>
    <row r="313" spans="1:11" ht="50.1" hidden="1" customHeight="1">
      <c r="A313" s="17">
        <f t="shared" si="4"/>
        <v>26</v>
      </c>
      <c r="B313" s="14" t="s">
        <v>10</v>
      </c>
      <c r="C313" s="1" t="s">
        <v>90</v>
      </c>
      <c r="D313" s="1" t="s">
        <v>91</v>
      </c>
      <c r="E313" t="s">
        <v>92</v>
      </c>
      <c r="F313" t="s">
        <v>93</v>
      </c>
      <c r="G313" s="3" t="s">
        <v>176</v>
      </c>
      <c r="H313" s="2">
        <v>46357</v>
      </c>
      <c r="I313" s="36"/>
      <c r="J313" s="36">
        <v>0</v>
      </c>
      <c r="K313" s="33">
        <f>SUMIFS($J$2:J313,$C$2:C313,C313)</f>
        <v>0</v>
      </c>
    </row>
    <row r="314" spans="1:11" ht="50.1" hidden="1" customHeight="1">
      <c r="A314" s="17">
        <f t="shared" si="4"/>
        <v>27</v>
      </c>
      <c r="B314" s="14" t="s">
        <v>10</v>
      </c>
      <c r="C314" s="1" t="s">
        <v>94</v>
      </c>
      <c r="D314" s="1" t="s">
        <v>95</v>
      </c>
      <c r="E314" t="s">
        <v>96</v>
      </c>
      <c r="F314" t="s">
        <v>93</v>
      </c>
      <c r="G314" s="3" t="s">
        <v>176</v>
      </c>
      <c r="H314" s="2">
        <v>46023</v>
      </c>
      <c r="I314" s="36"/>
      <c r="J314" s="36">
        <v>0</v>
      </c>
      <c r="K314" s="33">
        <f>SUMIFS($J$2:J314,$C$2:C314,C314)</f>
        <v>0</v>
      </c>
    </row>
    <row r="315" spans="1:11" ht="50.1" hidden="1" customHeight="1">
      <c r="A315" s="17">
        <f t="shared" si="4"/>
        <v>27</v>
      </c>
      <c r="B315" s="14" t="s">
        <v>10</v>
      </c>
      <c r="C315" s="1" t="s">
        <v>94</v>
      </c>
      <c r="D315" s="1" t="s">
        <v>95</v>
      </c>
      <c r="E315" t="s">
        <v>96</v>
      </c>
      <c r="F315" t="s">
        <v>93</v>
      </c>
      <c r="G315" s="3" t="s">
        <v>176</v>
      </c>
      <c r="H315" s="2">
        <v>46054</v>
      </c>
      <c r="I315" s="36"/>
      <c r="J315" s="36">
        <v>0</v>
      </c>
      <c r="K315" s="33">
        <f>SUMIFS($J$2:J315,$C$2:C315,C315)</f>
        <v>0</v>
      </c>
    </row>
    <row r="316" spans="1:11" ht="50.1" hidden="1" customHeight="1">
      <c r="A316" s="17">
        <f t="shared" si="4"/>
        <v>27</v>
      </c>
      <c r="B316" s="14" t="s">
        <v>10</v>
      </c>
      <c r="C316" s="1" t="s">
        <v>94</v>
      </c>
      <c r="D316" s="1" t="s">
        <v>95</v>
      </c>
      <c r="E316" t="s">
        <v>96</v>
      </c>
      <c r="F316" t="s">
        <v>93</v>
      </c>
      <c r="G316" s="3" t="s">
        <v>176</v>
      </c>
      <c r="H316" s="2">
        <v>46082</v>
      </c>
      <c r="I316" s="36"/>
      <c r="J316" s="36">
        <v>0</v>
      </c>
      <c r="K316" s="33">
        <f>SUMIFS($J$2:J316,$C$2:C316,C316)</f>
        <v>0</v>
      </c>
    </row>
    <row r="317" spans="1:11" ht="50.1" hidden="1" customHeight="1">
      <c r="A317" s="17">
        <f t="shared" si="4"/>
        <v>27</v>
      </c>
      <c r="B317" s="14" t="s">
        <v>10</v>
      </c>
      <c r="C317" s="1" t="s">
        <v>94</v>
      </c>
      <c r="D317" s="1" t="s">
        <v>95</v>
      </c>
      <c r="E317" t="s">
        <v>96</v>
      </c>
      <c r="F317" t="s">
        <v>93</v>
      </c>
      <c r="G317" s="3" t="s">
        <v>176</v>
      </c>
      <c r="H317" s="2">
        <v>46113</v>
      </c>
      <c r="I317" s="36"/>
      <c r="J317" s="36">
        <v>0</v>
      </c>
      <c r="K317" s="33">
        <f>SUMIFS($J$2:J317,$C$2:C317,C317)</f>
        <v>0</v>
      </c>
    </row>
    <row r="318" spans="1:11" ht="50.1" hidden="1" customHeight="1">
      <c r="A318" s="17">
        <f t="shared" si="4"/>
        <v>27</v>
      </c>
      <c r="B318" s="14" t="s">
        <v>10</v>
      </c>
      <c r="C318" s="1" t="s">
        <v>94</v>
      </c>
      <c r="D318" s="1" t="s">
        <v>95</v>
      </c>
      <c r="E318" t="s">
        <v>96</v>
      </c>
      <c r="F318" t="s">
        <v>93</v>
      </c>
      <c r="G318" s="3" t="s">
        <v>176</v>
      </c>
      <c r="H318" s="2">
        <v>46143</v>
      </c>
      <c r="I318" s="36"/>
      <c r="J318" s="36">
        <v>0</v>
      </c>
      <c r="K318" s="33">
        <f>SUMIFS($J$2:J318,$C$2:C318,C318)</f>
        <v>0</v>
      </c>
    </row>
    <row r="319" spans="1:11" ht="50.1" hidden="1" customHeight="1">
      <c r="A319" s="17">
        <f t="shared" si="4"/>
        <v>27</v>
      </c>
      <c r="B319" s="14" t="s">
        <v>10</v>
      </c>
      <c r="C319" s="1" t="s">
        <v>94</v>
      </c>
      <c r="D319" s="1" t="s">
        <v>95</v>
      </c>
      <c r="E319" t="s">
        <v>96</v>
      </c>
      <c r="F319" t="s">
        <v>93</v>
      </c>
      <c r="G319" s="3" t="s">
        <v>176</v>
      </c>
      <c r="H319" s="2">
        <v>46174</v>
      </c>
      <c r="I319" s="36"/>
      <c r="J319" s="36">
        <v>0</v>
      </c>
      <c r="K319" s="33">
        <f>SUMIFS($J$2:J319,$C$2:C319,C319)</f>
        <v>0</v>
      </c>
    </row>
    <row r="320" spans="1:11" ht="50.1" hidden="1" customHeight="1">
      <c r="A320" s="17">
        <f t="shared" si="4"/>
        <v>27</v>
      </c>
      <c r="B320" s="14" t="s">
        <v>10</v>
      </c>
      <c r="C320" s="1" t="s">
        <v>94</v>
      </c>
      <c r="D320" s="1" t="s">
        <v>95</v>
      </c>
      <c r="E320" t="s">
        <v>96</v>
      </c>
      <c r="F320" t="s">
        <v>93</v>
      </c>
      <c r="G320" s="3" t="s">
        <v>176</v>
      </c>
      <c r="H320" s="2">
        <v>46204</v>
      </c>
      <c r="I320" s="36"/>
      <c r="J320" s="36">
        <v>0</v>
      </c>
      <c r="K320" s="33">
        <f>SUMIFS($J$2:J320,$C$2:C320,C320)</f>
        <v>0</v>
      </c>
    </row>
    <row r="321" spans="1:11" ht="50.1" hidden="1" customHeight="1">
      <c r="A321" s="17">
        <f t="shared" si="4"/>
        <v>27</v>
      </c>
      <c r="B321" s="14" t="s">
        <v>10</v>
      </c>
      <c r="C321" s="1" t="s">
        <v>94</v>
      </c>
      <c r="D321" s="1" t="s">
        <v>95</v>
      </c>
      <c r="E321" t="s">
        <v>96</v>
      </c>
      <c r="F321" t="s">
        <v>93</v>
      </c>
      <c r="G321" s="3" t="s">
        <v>176</v>
      </c>
      <c r="H321" s="2">
        <v>46235</v>
      </c>
      <c r="I321" s="36"/>
      <c r="J321" s="36">
        <v>0</v>
      </c>
      <c r="K321" s="33">
        <f>SUMIFS($J$2:J321,$C$2:C321,C321)</f>
        <v>0</v>
      </c>
    </row>
    <row r="322" spans="1:11" ht="50.1" hidden="1" customHeight="1">
      <c r="A322" s="17">
        <f t="shared" si="4"/>
        <v>27</v>
      </c>
      <c r="B322" s="14" t="s">
        <v>10</v>
      </c>
      <c r="C322" s="1" t="s">
        <v>94</v>
      </c>
      <c r="D322" s="1" t="s">
        <v>95</v>
      </c>
      <c r="E322" t="s">
        <v>96</v>
      </c>
      <c r="F322" t="s">
        <v>93</v>
      </c>
      <c r="G322" s="3" t="s">
        <v>176</v>
      </c>
      <c r="H322" s="2">
        <v>46266</v>
      </c>
      <c r="I322" s="36"/>
      <c r="J322" s="36">
        <v>0</v>
      </c>
      <c r="K322" s="33">
        <f>SUMIFS($J$2:J322,$C$2:C322,C322)</f>
        <v>0</v>
      </c>
    </row>
    <row r="323" spans="1:11" ht="50.1" hidden="1" customHeight="1">
      <c r="A323" s="17">
        <f t="shared" ref="A323:A386" si="5">INT((ROW(A323)-2)/12)+1</f>
        <v>27</v>
      </c>
      <c r="B323" s="14" t="s">
        <v>10</v>
      </c>
      <c r="C323" s="1" t="s">
        <v>94</v>
      </c>
      <c r="D323" s="1" t="s">
        <v>95</v>
      </c>
      <c r="E323" t="s">
        <v>96</v>
      </c>
      <c r="F323" t="s">
        <v>93</v>
      </c>
      <c r="G323" s="3" t="s">
        <v>176</v>
      </c>
      <c r="H323" s="2">
        <v>46296</v>
      </c>
      <c r="I323" s="36"/>
      <c r="J323" s="36">
        <v>0</v>
      </c>
      <c r="K323" s="33">
        <f>SUMIFS($J$2:J323,$C$2:C323,C323)</f>
        <v>0</v>
      </c>
    </row>
    <row r="324" spans="1:11" ht="50.1" hidden="1" customHeight="1">
      <c r="A324" s="17">
        <f t="shared" si="5"/>
        <v>27</v>
      </c>
      <c r="B324" s="14" t="s">
        <v>10</v>
      </c>
      <c r="C324" s="1" t="s">
        <v>94</v>
      </c>
      <c r="D324" s="1" t="s">
        <v>95</v>
      </c>
      <c r="E324" t="s">
        <v>96</v>
      </c>
      <c r="F324" t="s">
        <v>93</v>
      </c>
      <c r="G324" s="3" t="s">
        <v>176</v>
      </c>
      <c r="H324" s="2">
        <v>46327</v>
      </c>
      <c r="I324" s="36">
        <v>1</v>
      </c>
      <c r="J324" s="36">
        <v>0</v>
      </c>
      <c r="K324" s="33">
        <f>SUMIFS($J$2:J324,$C$2:C324,C324)</f>
        <v>0</v>
      </c>
    </row>
    <row r="325" spans="1:11" ht="50.1" hidden="1" customHeight="1">
      <c r="A325" s="17">
        <f t="shared" si="5"/>
        <v>27</v>
      </c>
      <c r="B325" s="14" t="s">
        <v>10</v>
      </c>
      <c r="C325" s="1" t="s">
        <v>94</v>
      </c>
      <c r="D325" s="1" t="s">
        <v>95</v>
      </c>
      <c r="E325" t="s">
        <v>96</v>
      </c>
      <c r="F325" t="s">
        <v>93</v>
      </c>
      <c r="G325" s="3" t="s">
        <v>176</v>
      </c>
      <c r="H325" s="2">
        <v>46357</v>
      </c>
      <c r="I325" s="36"/>
      <c r="J325" s="36">
        <v>0</v>
      </c>
      <c r="K325" s="33">
        <f>SUMIFS($J$2:J325,$C$2:C325,C325)</f>
        <v>0</v>
      </c>
    </row>
    <row r="326" spans="1:11" ht="50.1" hidden="1" customHeight="1">
      <c r="A326" s="17">
        <f t="shared" si="5"/>
        <v>28</v>
      </c>
      <c r="B326" s="14" t="s">
        <v>10</v>
      </c>
      <c r="C326" s="1" t="s">
        <v>97</v>
      </c>
      <c r="D326" s="1" t="s">
        <v>98</v>
      </c>
      <c r="E326" s="1" t="s">
        <v>99</v>
      </c>
      <c r="F326" t="s">
        <v>93</v>
      </c>
      <c r="G326" s="3" t="s">
        <v>176</v>
      </c>
      <c r="H326" s="2">
        <v>46023</v>
      </c>
      <c r="I326" s="36"/>
      <c r="J326" s="36">
        <v>0</v>
      </c>
      <c r="K326" s="33">
        <f>SUMIFS($J$2:J326,$C$2:C326,C326)</f>
        <v>0</v>
      </c>
    </row>
    <row r="327" spans="1:11" ht="50.1" hidden="1" customHeight="1">
      <c r="A327" s="17">
        <f t="shared" si="5"/>
        <v>28</v>
      </c>
      <c r="B327" s="14" t="s">
        <v>10</v>
      </c>
      <c r="C327" s="1" t="s">
        <v>97</v>
      </c>
      <c r="D327" s="1" t="s">
        <v>98</v>
      </c>
      <c r="E327" t="s">
        <v>99</v>
      </c>
      <c r="F327" t="s">
        <v>93</v>
      </c>
      <c r="G327" s="3" t="s">
        <v>176</v>
      </c>
      <c r="H327" s="2">
        <v>46054</v>
      </c>
      <c r="I327" s="36"/>
      <c r="J327" s="36">
        <v>0</v>
      </c>
      <c r="K327" s="33">
        <f>SUMIFS($J$2:J327,$C$2:C327,C327)</f>
        <v>0</v>
      </c>
    </row>
    <row r="328" spans="1:11" ht="50.1" hidden="1" customHeight="1">
      <c r="A328" s="17">
        <f t="shared" si="5"/>
        <v>28</v>
      </c>
      <c r="B328" s="14" t="s">
        <v>10</v>
      </c>
      <c r="C328" s="1" t="s">
        <v>97</v>
      </c>
      <c r="D328" s="1" t="s">
        <v>98</v>
      </c>
      <c r="E328" t="s">
        <v>99</v>
      </c>
      <c r="F328" t="s">
        <v>93</v>
      </c>
      <c r="G328" s="3" t="s">
        <v>176</v>
      </c>
      <c r="H328" s="2">
        <v>46082</v>
      </c>
      <c r="I328" s="36"/>
      <c r="J328" s="36">
        <v>0</v>
      </c>
      <c r="K328" s="33">
        <f>SUMIFS($J$2:J328,$C$2:C328,C328)</f>
        <v>0</v>
      </c>
    </row>
    <row r="329" spans="1:11" ht="50.1" hidden="1" customHeight="1">
      <c r="A329" s="17">
        <f t="shared" si="5"/>
        <v>28</v>
      </c>
      <c r="B329" s="14" t="s">
        <v>10</v>
      </c>
      <c r="C329" s="1" t="s">
        <v>97</v>
      </c>
      <c r="D329" s="1" t="s">
        <v>98</v>
      </c>
      <c r="E329" t="s">
        <v>99</v>
      </c>
      <c r="F329" t="s">
        <v>93</v>
      </c>
      <c r="G329" s="3" t="s">
        <v>176</v>
      </c>
      <c r="H329" s="2">
        <v>46113</v>
      </c>
      <c r="I329" s="36"/>
      <c r="J329" s="36">
        <v>0</v>
      </c>
      <c r="K329" s="33">
        <f>SUMIFS($J$2:J329,$C$2:C329,C329)</f>
        <v>0</v>
      </c>
    </row>
    <row r="330" spans="1:11" ht="50.1" hidden="1" customHeight="1">
      <c r="A330" s="17">
        <f t="shared" si="5"/>
        <v>28</v>
      </c>
      <c r="B330" s="14" t="s">
        <v>10</v>
      </c>
      <c r="C330" s="1" t="s">
        <v>97</v>
      </c>
      <c r="D330" s="1" t="s">
        <v>98</v>
      </c>
      <c r="E330" t="s">
        <v>99</v>
      </c>
      <c r="F330" t="s">
        <v>93</v>
      </c>
      <c r="G330" s="3" t="s">
        <v>176</v>
      </c>
      <c r="H330" s="2">
        <v>46143</v>
      </c>
      <c r="I330" s="36"/>
      <c r="J330" s="36">
        <v>0</v>
      </c>
      <c r="K330" s="33">
        <f>SUMIFS($J$2:J330,$C$2:C330,C330)</f>
        <v>0</v>
      </c>
    </row>
    <row r="331" spans="1:11" ht="50.1" hidden="1" customHeight="1">
      <c r="A331" s="17">
        <f t="shared" si="5"/>
        <v>28</v>
      </c>
      <c r="B331" s="14" t="s">
        <v>10</v>
      </c>
      <c r="C331" s="1" t="s">
        <v>97</v>
      </c>
      <c r="D331" s="1" t="s">
        <v>98</v>
      </c>
      <c r="E331" t="s">
        <v>99</v>
      </c>
      <c r="F331" t="s">
        <v>93</v>
      </c>
      <c r="G331" s="3" t="s">
        <v>176</v>
      </c>
      <c r="H331" s="2">
        <v>46174</v>
      </c>
      <c r="I331" s="36"/>
      <c r="J331" s="36">
        <v>0</v>
      </c>
      <c r="K331" s="33">
        <f>SUMIFS($J$2:J331,$C$2:C331,C331)</f>
        <v>0</v>
      </c>
    </row>
    <row r="332" spans="1:11" ht="50.1" hidden="1" customHeight="1">
      <c r="A332" s="17">
        <f t="shared" si="5"/>
        <v>28</v>
      </c>
      <c r="B332" s="14" t="s">
        <v>10</v>
      </c>
      <c r="C332" s="1" t="s">
        <v>97</v>
      </c>
      <c r="D332" s="1" t="s">
        <v>98</v>
      </c>
      <c r="E332" t="s">
        <v>99</v>
      </c>
      <c r="F332" t="s">
        <v>93</v>
      </c>
      <c r="G332" s="3" t="s">
        <v>176</v>
      </c>
      <c r="H332" s="2">
        <v>46204</v>
      </c>
      <c r="I332" s="36"/>
      <c r="J332" s="36">
        <v>0</v>
      </c>
      <c r="K332" s="33">
        <f>SUMIFS($J$2:J332,$C$2:C332,C332)</f>
        <v>0</v>
      </c>
    </row>
    <row r="333" spans="1:11" ht="50.1" hidden="1" customHeight="1">
      <c r="A333" s="17">
        <f t="shared" si="5"/>
        <v>28</v>
      </c>
      <c r="B333" s="14" t="s">
        <v>10</v>
      </c>
      <c r="C333" s="1" t="s">
        <v>97</v>
      </c>
      <c r="D333" s="1" t="s">
        <v>98</v>
      </c>
      <c r="E333" t="s">
        <v>99</v>
      </c>
      <c r="F333" t="s">
        <v>93</v>
      </c>
      <c r="G333" s="3" t="s">
        <v>176</v>
      </c>
      <c r="H333" s="2">
        <v>46235</v>
      </c>
      <c r="I333" s="36"/>
      <c r="J333" s="36">
        <v>0</v>
      </c>
      <c r="K333" s="33">
        <f>SUMIFS($J$2:J333,$C$2:C333,C333)</f>
        <v>0</v>
      </c>
    </row>
    <row r="334" spans="1:11" ht="50.1" hidden="1" customHeight="1">
      <c r="A334" s="17">
        <f t="shared" si="5"/>
        <v>28</v>
      </c>
      <c r="B334" s="14" t="s">
        <v>10</v>
      </c>
      <c r="C334" s="1" t="s">
        <v>97</v>
      </c>
      <c r="D334" s="1" t="s">
        <v>98</v>
      </c>
      <c r="E334" t="s">
        <v>99</v>
      </c>
      <c r="F334" t="s">
        <v>93</v>
      </c>
      <c r="G334" s="3" t="s">
        <v>176</v>
      </c>
      <c r="H334" s="2">
        <v>46266</v>
      </c>
      <c r="I334" s="36">
        <v>0.5</v>
      </c>
      <c r="J334" s="36">
        <v>0</v>
      </c>
      <c r="K334" s="33">
        <f>SUMIFS($J$2:J334,$C$2:C334,C334)</f>
        <v>0</v>
      </c>
    </row>
    <row r="335" spans="1:11" ht="50.1" hidden="1" customHeight="1">
      <c r="A335" s="17">
        <f t="shared" si="5"/>
        <v>28</v>
      </c>
      <c r="B335" s="14" t="s">
        <v>10</v>
      </c>
      <c r="C335" s="1" t="s">
        <v>97</v>
      </c>
      <c r="D335" s="1" t="s">
        <v>98</v>
      </c>
      <c r="E335" t="s">
        <v>99</v>
      </c>
      <c r="F335" t="s">
        <v>93</v>
      </c>
      <c r="G335" s="3" t="s">
        <v>176</v>
      </c>
      <c r="H335" s="2">
        <v>46296</v>
      </c>
      <c r="I335" s="36"/>
      <c r="J335" s="36">
        <v>0</v>
      </c>
      <c r="K335" s="33">
        <f>SUMIFS($J$2:J335,$C$2:C335,C335)</f>
        <v>0</v>
      </c>
    </row>
    <row r="336" spans="1:11" ht="50.1" hidden="1" customHeight="1">
      <c r="A336" s="17">
        <f t="shared" si="5"/>
        <v>28</v>
      </c>
      <c r="B336" s="14" t="s">
        <v>10</v>
      </c>
      <c r="C336" s="1" t="s">
        <v>97</v>
      </c>
      <c r="D336" s="1" t="s">
        <v>98</v>
      </c>
      <c r="E336" t="s">
        <v>99</v>
      </c>
      <c r="F336" t="s">
        <v>93</v>
      </c>
      <c r="G336" s="3" t="s">
        <v>176</v>
      </c>
      <c r="H336" s="2">
        <v>46327</v>
      </c>
      <c r="I336" s="36"/>
      <c r="J336" s="36">
        <v>0</v>
      </c>
      <c r="K336" s="33">
        <f>SUMIFS($J$2:J336,$C$2:C336,C336)</f>
        <v>0</v>
      </c>
    </row>
    <row r="337" spans="1:11" ht="50.1" hidden="1" customHeight="1">
      <c r="A337" s="17">
        <f t="shared" si="5"/>
        <v>28</v>
      </c>
      <c r="B337" s="14" t="s">
        <v>10</v>
      </c>
      <c r="C337" s="1" t="s">
        <v>97</v>
      </c>
      <c r="D337" s="1" t="s">
        <v>98</v>
      </c>
      <c r="E337" t="s">
        <v>99</v>
      </c>
      <c r="F337" t="s">
        <v>93</v>
      </c>
      <c r="G337" s="3" t="s">
        <v>176</v>
      </c>
      <c r="H337" s="2">
        <v>46357</v>
      </c>
      <c r="I337" s="36">
        <v>0.5</v>
      </c>
      <c r="J337" s="36">
        <v>0</v>
      </c>
      <c r="K337" s="33">
        <f>SUMIFS($J$2:J337,$C$2:C337,C337)</f>
        <v>0</v>
      </c>
    </row>
    <row r="338" spans="1:11" ht="45">
      <c r="A338" s="17">
        <f t="shared" si="5"/>
        <v>29</v>
      </c>
      <c r="B338" s="14" t="s">
        <v>12</v>
      </c>
      <c r="C338" s="1" t="s">
        <v>100</v>
      </c>
      <c r="D338" s="1" t="s">
        <v>101</v>
      </c>
      <c r="F338" t="s">
        <v>102</v>
      </c>
      <c r="G338" s="3" t="s">
        <v>176</v>
      </c>
      <c r="H338" s="2">
        <v>46023</v>
      </c>
      <c r="I338" s="36">
        <v>0.9</v>
      </c>
      <c r="J338" s="36">
        <v>0</v>
      </c>
      <c r="K338" s="33">
        <f>SUMIFS($J$2:J338,$C$2:C338,C338)</f>
        <v>0</v>
      </c>
    </row>
    <row r="339" spans="1:11" ht="45">
      <c r="A339" s="17">
        <f t="shared" si="5"/>
        <v>29</v>
      </c>
      <c r="B339" s="14" t="s">
        <v>12</v>
      </c>
      <c r="C339" s="1" t="s">
        <v>100</v>
      </c>
      <c r="D339" s="1" t="s">
        <v>101</v>
      </c>
      <c r="F339" t="s">
        <v>102</v>
      </c>
      <c r="G339" s="3" t="s">
        <v>176</v>
      </c>
      <c r="H339" s="2">
        <v>46054</v>
      </c>
      <c r="I339" s="36">
        <v>0.9</v>
      </c>
      <c r="J339" s="36">
        <v>0</v>
      </c>
      <c r="K339" s="33">
        <f>SUMIFS($J$2:J339,$C$2:C339,C339)</f>
        <v>0</v>
      </c>
    </row>
    <row r="340" spans="1:11" ht="45">
      <c r="A340" s="17">
        <f t="shared" si="5"/>
        <v>29</v>
      </c>
      <c r="B340" s="14" t="s">
        <v>12</v>
      </c>
      <c r="C340" s="1" t="s">
        <v>100</v>
      </c>
      <c r="D340" s="1" t="s">
        <v>101</v>
      </c>
      <c r="F340" t="s">
        <v>102</v>
      </c>
      <c r="G340" s="3" t="s">
        <v>176</v>
      </c>
      <c r="H340" s="2">
        <v>46082</v>
      </c>
      <c r="I340" s="36">
        <v>0.9</v>
      </c>
      <c r="J340" s="36">
        <v>0</v>
      </c>
      <c r="K340" s="33">
        <f>SUMIFS($J$2:J340,$C$2:C340,C340)</f>
        <v>0</v>
      </c>
    </row>
    <row r="341" spans="1:11" ht="45">
      <c r="A341" s="17">
        <f t="shared" si="5"/>
        <v>29</v>
      </c>
      <c r="B341" s="14" t="s">
        <v>12</v>
      </c>
      <c r="C341" s="1" t="s">
        <v>100</v>
      </c>
      <c r="D341" s="1" t="s">
        <v>101</v>
      </c>
      <c r="F341" t="s">
        <v>102</v>
      </c>
      <c r="G341" s="3" t="s">
        <v>176</v>
      </c>
      <c r="H341" s="2">
        <v>46113</v>
      </c>
      <c r="I341" s="36">
        <v>0.9</v>
      </c>
      <c r="J341" s="36">
        <v>0</v>
      </c>
      <c r="K341" s="33">
        <f>SUMIFS($J$2:J341,$C$2:C341,C341)</f>
        <v>0</v>
      </c>
    </row>
    <row r="342" spans="1:11" ht="45">
      <c r="A342" s="17">
        <f t="shared" si="5"/>
        <v>29</v>
      </c>
      <c r="B342" s="14" t="s">
        <v>12</v>
      </c>
      <c r="C342" s="1" t="s">
        <v>100</v>
      </c>
      <c r="D342" s="1" t="s">
        <v>101</v>
      </c>
      <c r="F342" t="s">
        <v>102</v>
      </c>
      <c r="G342" s="3" t="s">
        <v>176</v>
      </c>
      <c r="H342" s="2">
        <v>46143</v>
      </c>
      <c r="I342" s="36">
        <v>0.9</v>
      </c>
      <c r="J342" s="36">
        <v>0</v>
      </c>
      <c r="K342" s="33">
        <f>SUMIFS($J$2:J342,$C$2:C342,C342)</f>
        <v>0</v>
      </c>
    </row>
    <row r="343" spans="1:11" ht="45">
      <c r="A343" s="17">
        <f t="shared" si="5"/>
        <v>29</v>
      </c>
      <c r="B343" s="14" t="s">
        <v>12</v>
      </c>
      <c r="C343" s="1" t="s">
        <v>100</v>
      </c>
      <c r="D343" s="1" t="s">
        <v>101</v>
      </c>
      <c r="F343" t="s">
        <v>102</v>
      </c>
      <c r="G343" s="3" t="s">
        <v>176</v>
      </c>
      <c r="H343" s="2">
        <v>46174</v>
      </c>
      <c r="I343" s="36">
        <v>0.9</v>
      </c>
      <c r="J343" s="36">
        <v>0</v>
      </c>
      <c r="K343" s="33">
        <f>SUMIFS($J$2:J343,$C$2:C343,C343)</f>
        <v>0</v>
      </c>
    </row>
    <row r="344" spans="1:11" ht="45">
      <c r="A344" s="17">
        <f t="shared" si="5"/>
        <v>29</v>
      </c>
      <c r="B344" s="14" t="s">
        <v>12</v>
      </c>
      <c r="C344" s="1" t="s">
        <v>100</v>
      </c>
      <c r="D344" s="1" t="s">
        <v>101</v>
      </c>
      <c r="F344" t="s">
        <v>102</v>
      </c>
      <c r="G344" s="3" t="s">
        <v>176</v>
      </c>
      <c r="H344" s="2">
        <v>46204</v>
      </c>
      <c r="I344" s="36">
        <v>0.9</v>
      </c>
      <c r="J344" s="36">
        <v>0</v>
      </c>
      <c r="K344" s="33">
        <f>SUMIFS($J$2:J344,$C$2:C344,C344)</f>
        <v>0</v>
      </c>
    </row>
    <row r="345" spans="1:11" ht="45">
      <c r="A345" s="17">
        <f t="shared" si="5"/>
        <v>29</v>
      </c>
      <c r="B345" s="14" t="s">
        <v>12</v>
      </c>
      <c r="C345" s="1" t="s">
        <v>100</v>
      </c>
      <c r="D345" s="1" t="s">
        <v>101</v>
      </c>
      <c r="F345" t="s">
        <v>102</v>
      </c>
      <c r="G345" s="3" t="s">
        <v>176</v>
      </c>
      <c r="H345" s="2">
        <v>46235</v>
      </c>
      <c r="I345" s="36">
        <v>0.9</v>
      </c>
      <c r="J345" s="36">
        <v>0</v>
      </c>
      <c r="K345" s="33">
        <f>SUMIFS($J$2:J345,$C$2:C345,C345)</f>
        <v>0</v>
      </c>
    </row>
    <row r="346" spans="1:11" ht="45">
      <c r="A346" s="17">
        <f t="shared" si="5"/>
        <v>29</v>
      </c>
      <c r="B346" s="14" t="s">
        <v>12</v>
      </c>
      <c r="C346" s="1" t="s">
        <v>100</v>
      </c>
      <c r="D346" s="1" t="s">
        <v>101</v>
      </c>
      <c r="F346" t="s">
        <v>102</v>
      </c>
      <c r="G346" s="3" t="s">
        <v>176</v>
      </c>
      <c r="H346" s="2">
        <v>46266</v>
      </c>
      <c r="I346" s="36">
        <v>0.9</v>
      </c>
      <c r="J346" s="36">
        <v>0</v>
      </c>
      <c r="K346" s="33">
        <f>SUMIFS($J$2:J346,$C$2:C346,C346)</f>
        <v>0</v>
      </c>
    </row>
    <row r="347" spans="1:11" ht="45">
      <c r="A347" s="17">
        <f t="shared" si="5"/>
        <v>29</v>
      </c>
      <c r="B347" s="14" t="s">
        <v>12</v>
      </c>
      <c r="C347" s="1" t="s">
        <v>100</v>
      </c>
      <c r="D347" s="1" t="s">
        <v>101</v>
      </c>
      <c r="F347" t="s">
        <v>102</v>
      </c>
      <c r="G347" s="3" t="s">
        <v>176</v>
      </c>
      <c r="H347" s="2">
        <v>46296</v>
      </c>
      <c r="I347" s="36">
        <v>0.9</v>
      </c>
      <c r="J347" s="36">
        <v>0</v>
      </c>
      <c r="K347" s="33">
        <f>SUMIFS($J$2:J347,$C$2:C347,C347)</f>
        <v>0</v>
      </c>
    </row>
    <row r="348" spans="1:11" ht="45">
      <c r="A348" s="17">
        <f t="shared" si="5"/>
        <v>29</v>
      </c>
      <c r="B348" s="14" t="s">
        <v>12</v>
      </c>
      <c r="C348" s="1" t="s">
        <v>100</v>
      </c>
      <c r="D348" s="1" t="s">
        <v>101</v>
      </c>
      <c r="F348" t="s">
        <v>102</v>
      </c>
      <c r="G348" s="3" t="s">
        <v>176</v>
      </c>
      <c r="H348" s="2">
        <v>46327</v>
      </c>
      <c r="I348" s="36">
        <v>0.9</v>
      </c>
      <c r="J348" s="36">
        <v>0</v>
      </c>
      <c r="K348" s="33">
        <f>SUMIFS($J$2:J348,$C$2:C348,C348)</f>
        <v>0</v>
      </c>
    </row>
    <row r="349" spans="1:11" ht="45">
      <c r="A349" s="17">
        <f t="shared" si="5"/>
        <v>29</v>
      </c>
      <c r="B349" s="14" t="s">
        <v>12</v>
      </c>
      <c r="C349" s="1" t="s">
        <v>100</v>
      </c>
      <c r="D349" s="1" t="s">
        <v>101</v>
      </c>
      <c r="F349" t="s">
        <v>102</v>
      </c>
      <c r="G349" s="3" t="s">
        <v>176</v>
      </c>
      <c r="H349" s="2">
        <v>46357</v>
      </c>
      <c r="I349" s="36">
        <v>0.9</v>
      </c>
      <c r="J349" s="36">
        <v>0</v>
      </c>
      <c r="K349" s="33">
        <f>SUMIFS($J$2:J349,$C$2:C349,C349)</f>
        <v>0</v>
      </c>
    </row>
    <row r="350" spans="1:11" ht="45">
      <c r="A350" s="17">
        <f t="shared" si="5"/>
        <v>30</v>
      </c>
      <c r="B350" s="14" t="s">
        <v>11</v>
      </c>
      <c r="C350" s="1" t="s">
        <v>103</v>
      </c>
      <c r="D350" s="1" t="s">
        <v>104</v>
      </c>
      <c r="F350" t="s">
        <v>102</v>
      </c>
      <c r="G350" s="3" t="s">
        <v>176</v>
      </c>
      <c r="H350" s="2">
        <v>46023</v>
      </c>
      <c r="I350" s="36">
        <v>0.9</v>
      </c>
      <c r="J350" s="36">
        <v>0</v>
      </c>
      <c r="K350" s="33">
        <f>SUMIFS($J$2:J350,$C$2:C350,C350)</f>
        <v>0</v>
      </c>
    </row>
    <row r="351" spans="1:11" ht="45">
      <c r="A351" s="17">
        <f t="shared" si="5"/>
        <v>30</v>
      </c>
      <c r="B351" s="14" t="s">
        <v>11</v>
      </c>
      <c r="C351" s="1" t="s">
        <v>103</v>
      </c>
      <c r="D351" s="1" t="s">
        <v>104</v>
      </c>
      <c r="F351" t="s">
        <v>102</v>
      </c>
      <c r="G351" s="3" t="s">
        <v>176</v>
      </c>
      <c r="H351" s="2">
        <v>46054</v>
      </c>
      <c r="I351" s="36">
        <v>0.9</v>
      </c>
      <c r="J351" s="36">
        <v>0</v>
      </c>
      <c r="K351" s="33">
        <f>SUMIFS($J$2:J351,$C$2:C351,C351)</f>
        <v>0</v>
      </c>
    </row>
    <row r="352" spans="1:11" ht="45">
      <c r="A352" s="17">
        <f t="shared" si="5"/>
        <v>30</v>
      </c>
      <c r="B352" s="14" t="s">
        <v>11</v>
      </c>
      <c r="C352" s="1" t="s">
        <v>103</v>
      </c>
      <c r="D352" s="1" t="s">
        <v>104</v>
      </c>
      <c r="F352" t="s">
        <v>102</v>
      </c>
      <c r="G352" s="3" t="s">
        <v>176</v>
      </c>
      <c r="H352" s="2">
        <v>46082</v>
      </c>
      <c r="I352" s="36">
        <v>0.9</v>
      </c>
      <c r="J352" s="36">
        <v>0</v>
      </c>
      <c r="K352" s="33">
        <f>SUMIFS($J$2:J352,$C$2:C352,C352)</f>
        <v>0</v>
      </c>
    </row>
    <row r="353" spans="1:11" ht="45">
      <c r="A353" s="17">
        <f t="shared" si="5"/>
        <v>30</v>
      </c>
      <c r="B353" s="14" t="s">
        <v>11</v>
      </c>
      <c r="C353" s="1" t="s">
        <v>103</v>
      </c>
      <c r="D353" s="1" t="s">
        <v>104</v>
      </c>
      <c r="F353" t="s">
        <v>102</v>
      </c>
      <c r="G353" s="3" t="s">
        <v>176</v>
      </c>
      <c r="H353" s="2">
        <v>46113</v>
      </c>
      <c r="I353" s="36">
        <v>0.9</v>
      </c>
      <c r="J353" s="36">
        <v>0</v>
      </c>
      <c r="K353" s="33">
        <f>SUMIFS($J$2:J353,$C$2:C353,C353)</f>
        <v>0</v>
      </c>
    </row>
    <row r="354" spans="1:11" ht="45">
      <c r="A354" s="17">
        <f t="shared" si="5"/>
        <v>30</v>
      </c>
      <c r="B354" s="14" t="s">
        <v>11</v>
      </c>
      <c r="C354" s="1" t="s">
        <v>103</v>
      </c>
      <c r="D354" s="1" t="s">
        <v>104</v>
      </c>
      <c r="F354" t="s">
        <v>102</v>
      </c>
      <c r="G354" s="3" t="s">
        <v>176</v>
      </c>
      <c r="H354" s="2">
        <v>46143</v>
      </c>
      <c r="I354" s="36">
        <v>0.9</v>
      </c>
      <c r="J354" s="36">
        <v>0</v>
      </c>
      <c r="K354" s="33">
        <f>SUMIFS($J$2:J354,$C$2:C354,C354)</f>
        <v>0</v>
      </c>
    </row>
    <row r="355" spans="1:11" ht="45">
      <c r="A355" s="17">
        <f t="shared" si="5"/>
        <v>30</v>
      </c>
      <c r="B355" s="14" t="s">
        <v>11</v>
      </c>
      <c r="C355" s="1" t="s">
        <v>103</v>
      </c>
      <c r="D355" s="1" t="s">
        <v>104</v>
      </c>
      <c r="F355" t="s">
        <v>102</v>
      </c>
      <c r="G355" s="3" t="s">
        <v>176</v>
      </c>
      <c r="H355" s="2">
        <v>46174</v>
      </c>
      <c r="I355" s="36">
        <v>0.9</v>
      </c>
      <c r="J355" s="36">
        <v>0</v>
      </c>
      <c r="K355" s="33">
        <f>SUMIFS($J$2:J355,$C$2:C355,C355)</f>
        <v>0</v>
      </c>
    </row>
    <row r="356" spans="1:11" ht="45">
      <c r="A356" s="17">
        <f t="shared" si="5"/>
        <v>30</v>
      </c>
      <c r="B356" s="14" t="s">
        <v>11</v>
      </c>
      <c r="C356" s="1" t="s">
        <v>103</v>
      </c>
      <c r="D356" s="1" t="s">
        <v>104</v>
      </c>
      <c r="F356" t="s">
        <v>102</v>
      </c>
      <c r="G356" s="3" t="s">
        <v>176</v>
      </c>
      <c r="H356" s="2">
        <v>46204</v>
      </c>
      <c r="I356" s="36">
        <v>0.9</v>
      </c>
      <c r="J356" s="36">
        <v>0</v>
      </c>
      <c r="K356" s="33">
        <f>SUMIFS($J$2:J356,$C$2:C356,C356)</f>
        <v>0</v>
      </c>
    </row>
    <row r="357" spans="1:11" ht="45">
      <c r="A357" s="17">
        <f t="shared" si="5"/>
        <v>30</v>
      </c>
      <c r="B357" s="14" t="s">
        <v>11</v>
      </c>
      <c r="C357" s="1" t="s">
        <v>103</v>
      </c>
      <c r="D357" s="1" t="s">
        <v>104</v>
      </c>
      <c r="F357" t="s">
        <v>102</v>
      </c>
      <c r="G357" s="3" t="s">
        <v>176</v>
      </c>
      <c r="H357" s="2">
        <v>46235</v>
      </c>
      <c r="I357" s="36">
        <v>0.9</v>
      </c>
      <c r="J357" s="36">
        <v>0</v>
      </c>
      <c r="K357" s="33">
        <f>SUMIFS($J$2:J357,$C$2:C357,C357)</f>
        <v>0</v>
      </c>
    </row>
    <row r="358" spans="1:11" ht="45">
      <c r="A358" s="17">
        <f t="shared" si="5"/>
        <v>30</v>
      </c>
      <c r="B358" s="14" t="s">
        <v>11</v>
      </c>
      <c r="C358" s="1" t="s">
        <v>103</v>
      </c>
      <c r="D358" s="1" t="s">
        <v>104</v>
      </c>
      <c r="F358" t="s">
        <v>102</v>
      </c>
      <c r="G358" s="3" t="s">
        <v>176</v>
      </c>
      <c r="H358" s="2">
        <v>46266</v>
      </c>
      <c r="I358" s="36">
        <v>0.9</v>
      </c>
      <c r="J358" s="36">
        <v>0</v>
      </c>
      <c r="K358" s="33">
        <f>SUMIFS($J$2:J358,$C$2:C358,C358)</f>
        <v>0</v>
      </c>
    </row>
    <row r="359" spans="1:11" ht="45">
      <c r="A359" s="17">
        <f t="shared" si="5"/>
        <v>30</v>
      </c>
      <c r="B359" s="14" t="s">
        <v>11</v>
      </c>
      <c r="C359" s="1" t="s">
        <v>103</v>
      </c>
      <c r="D359" s="1" t="s">
        <v>104</v>
      </c>
      <c r="F359" t="s">
        <v>102</v>
      </c>
      <c r="G359" s="3" t="s">
        <v>176</v>
      </c>
      <c r="H359" s="2">
        <v>46296</v>
      </c>
      <c r="I359" s="36">
        <v>0.9</v>
      </c>
      <c r="J359" s="36">
        <v>0</v>
      </c>
      <c r="K359" s="33">
        <f>SUMIFS($J$2:J359,$C$2:C359,C359)</f>
        <v>0</v>
      </c>
    </row>
    <row r="360" spans="1:11" ht="45">
      <c r="A360" s="17">
        <f t="shared" si="5"/>
        <v>30</v>
      </c>
      <c r="B360" s="14" t="s">
        <v>11</v>
      </c>
      <c r="C360" s="1" t="s">
        <v>103</v>
      </c>
      <c r="D360" s="1" t="s">
        <v>104</v>
      </c>
      <c r="F360" t="s">
        <v>102</v>
      </c>
      <c r="G360" s="3" t="s">
        <v>176</v>
      </c>
      <c r="H360" s="2">
        <v>46327</v>
      </c>
      <c r="I360" s="36">
        <v>0.9</v>
      </c>
      <c r="J360" s="36">
        <v>0</v>
      </c>
      <c r="K360" s="33">
        <f>SUMIFS($J$2:J360,$C$2:C360,C360)</f>
        <v>0</v>
      </c>
    </row>
    <row r="361" spans="1:11" ht="45">
      <c r="A361" s="17">
        <f t="shared" si="5"/>
        <v>30</v>
      </c>
      <c r="B361" s="14" t="s">
        <v>11</v>
      </c>
      <c r="C361" s="1" t="s">
        <v>103</v>
      </c>
      <c r="D361" s="1" t="s">
        <v>104</v>
      </c>
      <c r="F361" t="s">
        <v>102</v>
      </c>
      <c r="G361" s="3" t="s">
        <v>176</v>
      </c>
      <c r="H361" s="2">
        <v>46357</v>
      </c>
      <c r="I361" s="36">
        <v>0.9</v>
      </c>
      <c r="J361" s="36">
        <v>0</v>
      </c>
      <c r="K361" s="33">
        <f>SUMIFS($J$2:J361,$C$2:C361,C361)</f>
        <v>0</v>
      </c>
    </row>
    <row r="362" spans="1:11" ht="50.1" hidden="1" customHeight="1">
      <c r="A362" s="17">
        <f t="shared" si="5"/>
        <v>31</v>
      </c>
      <c r="B362" s="14" t="s">
        <v>10</v>
      </c>
      <c r="C362" s="1" t="s">
        <v>105</v>
      </c>
      <c r="D362" s="1" t="s">
        <v>106</v>
      </c>
      <c r="E362" t="s">
        <v>107</v>
      </c>
      <c r="F362" t="s">
        <v>102</v>
      </c>
      <c r="G362" s="3" t="s">
        <v>176</v>
      </c>
      <c r="H362" s="2">
        <v>46023</v>
      </c>
      <c r="I362" s="36"/>
      <c r="J362" s="36">
        <v>0</v>
      </c>
      <c r="K362" s="33">
        <f>SUMIFS($J$2:J362,$C$2:C362,C362)</f>
        <v>0</v>
      </c>
    </row>
    <row r="363" spans="1:11" ht="50.1" hidden="1" customHeight="1">
      <c r="A363" s="17">
        <f t="shared" si="5"/>
        <v>31</v>
      </c>
      <c r="B363" s="14" t="s">
        <v>10</v>
      </c>
      <c r="C363" s="1" t="s">
        <v>105</v>
      </c>
      <c r="D363" s="1" t="s">
        <v>106</v>
      </c>
      <c r="E363" t="s">
        <v>107</v>
      </c>
      <c r="F363" t="s">
        <v>102</v>
      </c>
      <c r="G363" s="3" t="s">
        <v>176</v>
      </c>
      <c r="H363" s="2">
        <v>46054</v>
      </c>
      <c r="I363" s="36"/>
      <c r="J363" s="36">
        <v>0</v>
      </c>
      <c r="K363" s="33">
        <f>SUMIFS($J$2:J363,$C$2:C363,C363)</f>
        <v>0</v>
      </c>
    </row>
    <row r="364" spans="1:11" ht="50.1" hidden="1" customHeight="1">
      <c r="A364" s="17">
        <f t="shared" si="5"/>
        <v>31</v>
      </c>
      <c r="B364" s="14" t="s">
        <v>10</v>
      </c>
      <c r="C364" s="1" t="s">
        <v>105</v>
      </c>
      <c r="D364" s="1" t="s">
        <v>106</v>
      </c>
      <c r="E364" t="s">
        <v>107</v>
      </c>
      <c r="F364" t="s">
        <v>102</v>
      </c>
      <c r="G364" s="3" t="s">
        <v>176</v>
      </c>
      <c r="H364" s="2">
        <v>46082</v>
      </c>
      <c r="I364" s="36"/>
      <c r="J364" s="36">
        <v>0</v>
      </c>
      <c r="K364" s="33">
        <f>SUMIFS($J$2:J364,$C$2:C364,C364)</f>
        <v>0</v>
      </c>
    </row>
    <row r="365" spans="1:11" ht="50.1" hidden="1" customHeight="1">
      <c r="A365" s="17">
        <f t="shared" si="5"/>
        <v>31</v>
      </c>
      <c r="B365" s="14" t="s">
        <v>10</v>
      </c>
      <c r="C365" s="1" t="s">
        <v>105</v>
      </c>
      <c r="D365" s="1" t="s">
        <v>106</v>
      </c>
      <c r="E365" t="s">
        <v>107</v>
      </c>
      <c r="F365" t="s">
        <v>102</v>
      </c>
      <c r="G365" s="3" t="s">
        <v>176</v>
      </c>
      <c r="H365" s="2">
        <v>46113</v>
      </c>
      <c r="I365" s="36"/>
      <c r="J365" s="36">
        <v>0</v>
      </c>
      <c r="K365" s="33">
        <f>SUMIFS($J$2:J365,$C$2:C365,C365)</f>
        <v>0</v>
      </c>
    </row>
    <row r="366" spans="1:11" ht="50.1" hidden="1" customHeight="1">
      <c r="A366" s="17">
        <f t="shared" si="5"/>
        <v>31</v>
      </c>
      <c r="B366" s="14" t="s">
        <v>10</v>
      </c>
      <c r="C366" s="1" t="s">
        <v>105</v>
      </c>
      <c r="D366" s="1" t="s">
        <v>106</v>
      </c>
      <c r="E366" t="s">
        <v>107</v>
      </c>
      <c r="F366" t="s">
        <v>102</v>
      </c>
      <c r="G366" s="3" t="s">
        <v>176</v>
      </c>
      <c r="H366" s="2">
        <v>46143</v>
      </c>
      <c r="I366" s="36"/>
      <c r="J366" s="36">
        <v>0</v>
      </c>
      <c r="K366" s="33">
        <f>SUMIFS($J$2:J366,$C$2:C366,C366)</f>
        <v>0</v>
      </c>
    </row>
    <row r="367" spans="1:11" ht="50.1" hidden="1" customHeight="1">
      <c r="A367" s="17">
        <f t="shared" si="5"/>
        <v>31</v>
      </c>
      <c r="B367" s="14" t="s">
        <v>10</v>
      </c>
      <c r="C367" s="1" t="s">
        <v>105</v>
      </c>
      <c r="D367" s="1" t="s">
        <v>106</v>
      </c>
      <c r="E367" t="s">
        <v>107</v>
      </c>
      <c r="F367" t="s">
        <v>102</v>
      </c>
      <c r="G367" s="3" t="s">
        <v>176</v>
      </c>
      <c r="H367" s="2">
        <v>46174</v>
      </c>
      <c r="I367" s="36"/>
      <c r="J367" s="36">
        <v>0</v>
      </c>
      <c r="K367" s="33">
        <f>SUMIFS($J$2:J367,$C$2:C367,C367)</f>
        <v>0</v>
      </c>
    </row>
    <row r="368" spans="1:11" ht="50.1" hidden="1" customHeight="1">
      <c r="A368" s="17">
        <f t="shared" si="5"/>
        <v>31</v>
      </c>
      <c r="B368" s="14" t="s">
        <v>10</v>
      </c>
      <c r="C368" s="1" t="s">
        <v>105</v>
      </c>
      <c r="D368" s="1" t="s">
        <v>106</v>
      </c>
      <c r="E368" t="s">
        <v>107</v>
      </c>
      <c r="F368" t="s">
        <v>102</v>
      </c>
      <c r="G368" s="3" t="s">
        <v>176</v>
      </c>
      <c r="H368" s="2">
        <v>46204</v>
      </c>
      <c r="I368" s="36"/>
      <c r="J368" s="36">
        <v>0</v>
      </c>
      <c r="K368" s="33">
        <f>SUMIFS($J$2:J368,$C$2:C368,C368)</f>
        <v>0</v>
      </c>
    </row>
    <row r="369" spans="1:11" ht="50.1" hidden="1" customHeight="1">
      <c r="A369" s="17">
        <f t="shared" si="5"/>
        <v>31</v>
      </c>
      <c r="B369" s="14" t="s">
        <v>10</v>
      </c>
      <c r="C369" s="1" t="s">
        <v>105</v>
      </c>
      <c r="D369" s="1" t="s">
        <v>106</v>
      </c>
      <c r="E369" t="s">
        <v>107</v>
      </c>
      <c r="F369" t="s">
        <v>102</v>
      </c>
      <c r="G369" s="3" t="s">
        <v>176</v>
      </c>
      <c r="H369" s="2">
        <v>46235</v>
      </c>
      <c r="I369" s="36"/>
      <c r="J369" s="36">
        <v>0</v>
      </c>
      <c r="K369" s="33">
        <f>SUMIFS($J$2:J369,$C$2:C369,C369)</f>
        <v>0</v>
      </c>
    </row>
    <row r="370" spans="1:11" ht="50.1" hidden="1" customHeight="1">
      <c r="A370" s="17">
        <f t="shared" si="5"/>
        <v>31</v>
      </c>
      <c r="B370" s="14" t="s">
        <v>10</v>
      </c>
      <c r="C370" s="1" t="s">
        <v>105</v>
      </c>
      <c r="D370" s="1" t="s">
        <v>106</v>
      </c>
      <c r="E370" t="s">
        <v>107</v>
      </c>
      <c r="F370" t="s">
        <v>102</v>
      </c>
      <c r="G370" s="3" t="s">
        <v>176</v>
      </c>
      <c r="H370" s="2">
        <v>46266</v>
      </c>
      <c r="I370" s="36"/>
      <c r="J370" s="36">
        <v>0</v>
      </c>
      <c r="K370" s="33">
        <f>SUMIFS($J$2:J370,$C$2:C370,C370)</f>
        <v>0</v>
      </c>
    </row>
    <row r="371" spans="1:11" ht="50.1" hidden="1" customHeight="1">
      <c r="A371" s="17">
        <f t="shared" si="5"/>
        <v>31</v>
      </c>
      <c r="B371" s="14" t="s">
        <v>10</v>
      </c>
      <c r="C371" s="1" t="s">
        <v>105</v>
      </c>
      <c r="D371" s="1" t="s">
        <v>106</v>
      </c>
      <c r="E371" t="s">
        <v>107</v>
      </c>
      <c r="F371" t="s">
        <v>102</v>
      </c>
      <c r="G371" s="3" t="s">
        <v>176</v>
      </c>
      <c r="H371" s="2">
        <v>46296</v>
      </c>
      <c r="I371" s="36"/>
      <c r="J371" s="36">
        <v>0</v>
      </c>
      <c r="K371" s="33">
        <f>SUMIFS($J$2:J371,$C$2:C371,C371)</f>
        <v>0</v>
      </c>
    </row>
    <row r="372" spans="1:11" ht="50.1" hidden="1" customHeight="1">
      <c r="A372" s="17">
        <f t="shared" si="5"/>
        <v>31</v>
      </c>
      <c r="B372" s="14" t="s">
        <v>10</v>
      </c>
      <c r="C372" s="1" t="s">
        <v>105</v>
      </c>
      <c r="D372" s="1" t="s">
        <v>106</v>
      </c>
      <c r="E372" t="s">
        <v>107</v>
      </c>
      <c r="F372" t="s">
        <v>102</v>
      </c>
      <c r="G372" s="3" t="s">
        <v>176</v>
      </c>
      <c r="H372" s="2">
        <v>46327</v>
      </c>
      <c r="I372" s="36"/>
      <c r="J372" s="36">
        <v>0</v>
      </c>
      <c r="K372" s="33">
        <f>SUMIFS($J$2:J372,$C$2:C372,C372)</f>
        <v>0</v>
      </c>
    </row>
    <row r="373" spans="1:11" ht="50.1" hidden="1" customHeight="1">
      <c r="A373" s="17">
        <f t="shared" si="5"/>
        <v>31</v>
      </c>
      <c r="B373" s="14" t="s">
        <v>10</v>
      </c>
      <c r="C373" s="1" t="s">
        <v>105</v>
      </c>
      <c r="D373" s="1" t="s">
        <v>106</v>
      </c>
      <c r="E373" t="s">
        <v>107</v>
      </c>
      <c r="F373" t="s">
        <v>102</v>
      </c>
      <c r="G373" s="3" t="s">
        <v>176</v>
      </c>
      <c r="H373" s="2">
        <v>46357</v>
      </c>
      <c r="I373" s="36">
        <v>1</v>
      </c>
      <c r="J373" s="36">
        <v>0</v>
      </c>
      <c r="K373" s="33">
        <f>SUMIFS($J$2:J373,$C$2:C373,C373)</f>
        <v>0</v>
      </c>
    </row>
    <row r="374" spans="1:11" ht="50.1" hidden="1" customHeight="1">
      <c r="A374" s="17">
        <f t="shared" si="5"/>
        <v>32</v>
      </c>
      <c r="B374" s="14" t="s">
        <v>10</v>
      </c>
      <c r="C374" s="1" t="s">
        <v>108</v>
      </c>
      <c r="D374" s="1" t="s">
        <v>109</v>
      </c>
      <c r="E374" t="s">
        <v>110</v>
      </c>
      <c r="F374" t="s">
        <v>102</v>
      </c>
      <c r="G374" s="3" t="s">
        <v>176</v>
      </c>
      <c r="H374" s="2">
        <v>46023</v>
      </c>
      <c r="I374" s="36"/>
      <c r="J374" s="36">
        <v>0</v>
      </c>
      <c r="K374" s="33">
        <f>SUMIFS($J$2:J374,$C$2:C374,C374)</f>
        <v>0</v>
      </c>
    </row>
    <row r="375" spans="1:11" ht="50.1" hidden="1" customHeight="1">
      <c r="A375" s="17">
        <f t="shared" si="5"/>
        <v>32</v>
      </c>
      <c r="B375" s="14" t="s">
        <v>10</v>
      </c>
      <c r="C375" s="1" t="s">
        <v>108</v>
      </c>
      <c r="D375" s="1" t="s">
        <v>109</v>
      </c>
      <c r="E375" t="s">
        <v>110</v>
      </c>
      <c r="F375" t="s">
        <v>102</v>
      </c>
      <c r="G375" s="3" t="s">
        <v>176</v>
      </c>
      <c r="H375" s="2">
        <v>46054</v>
      </c>
      <c r="I375" s="36"/>
      <c r="J375" s="36">
        <v>0</v>
      </c>
      <c r="K375" s="33">
        <f>SUMIFS($J$2:J375,$C$2:C375,C375)</f>
        <v>0</v>
      </c>
    </row>
    <row r="376" spans="1:11" ht="50.1" hidden="1" customHeight="1">
      <c r="A376" s="17">
        <f t="shared" si="5"/>
        <v>32</v>
      </c>
      <c r="B376" s="14" t="s">
        <v>10</v>
      </c>
      <c r="C376" s="1" t="s">
        <v>108</v>
      </c>
      <c r="D376" s="1" t="s">
        <v>109</v>
      </c>
      <c r="E376" t="s">
        <v>110</v>
      </c>
      <c r="F376" t="s">
        <v>102</v>
      </c>
      <c r="G376" s="3" t="s">
        <v>176</v>
      </c>
      <c r="H376" s="2">
        <v>46082</v>
      </c>
      <c r="I376" s="36"/>
      <c r="J376" s="36">
        <v>0</v>
      </c>
      <c r="K376" s="33">
        <f>SUMIFS($J$2:J376,$C$2:C376,C376)</f>
        <v>0</v>
      </c>
    </row>
    <row r="377" spans="1:11" ht="50.1" hidden="1" customHeight="1">
      <c r="A377" s="17">
        <f t="shared" si="5"/>
        <v>32</v>
      </c>
      <c r="B377" s="14" t="s">
        <v>10</v>
      </c>
      <c r="C377" s="1" t="s">
        <v>108</v>
      </c>
      <c r="D377" s="1" t="s">
        <v>109</v>
      </c>
      <c r="E377" t="s">
        <v>110</v>
      </c>
      <c r="F377" t="s">
        <v>102</v>
      </c>
      <c r="G377" s="3" t="s">
        <v>176</v>
      </c>
      <c r="H377" s="2">
        <v>46113</v>
      </c>
      <c r="I377" s="36"/>
      <c r="J377" s="36">
        <v>0</v>
      </c>
      <c r="K377" s="33">
        <f>SUMIFS($J$2:J377,$C$2:C377,C377)</f>
        <v>0</v>
      </c>
    </row>
    <row r="378" spans="1:11" ht="50.1" hidden="1" customHeight="1">
      <c r="A378" s="17">
        <f t="shared" si="5"/>
        <v>32</v>
      </c>
      <c r="B378" s="14" t="s">
        <v>10</v>
      </c>
      <c r="C378" s="1" t="s">
        <v>108</v>
      </c>
      <c r="D378" s="1" t="s">
        <v>109</v>
      </c>
      <c r="E378" t="s">
        <v>110</v>
      </c>
      <c r="F378" t="s">
        <v>102</v>
      </c>
      <c r="G378" s="3" t="s">
        <v>176</v>
      </c>
      <c r="H378" s="2">
        <v>46143</v>
      </c>
      <c r="I378" s="36"/>
      <c r="J378" s="36">
        <v>0</v>
      </c>
      <c r="K378" s="33">
        <f>SUMIFS($J$2:J378,$C$2:C378,C378)</f>
        <v>0</v>
      </c>
    </row>
    <row r="379" spans="1:11" ht="50.1" hidden="1" customHeight="1">
      <c r="A379" s="17">
        <f t="shared" si="5"/>
        <v>32</v>
      </c>
      <c r="B379" s="14" t="s">
        <v>10</v>
      </c>
      <c r="C379" s="1" t="s">
        <v>108</v>
      </c>
      <c r="D379" s="1" t="s">
        <v>109</v>
      </c>
      <c r="E379" t="s">
        <v>110</v>
      </c>
      <c r="F379" t="s">
        <v>102</v>
      </c>
      <c r="G379" s="3" t="s">
        <v>176</v>
      </c>
      <c r="H379" s="2">
        <v>46174</v>
      </c>
      <c r="I379" s="36"/>
      <c r="J379" s="36">
        <v>0</v>
      </c>
      <c r="K379" s="33">
        <f>SUMIFS($J$2:J379,$C$2:C379,C379)</f>
        <v>0</v>
      </c>
    </row>
    <row r="380" spans="1:11" ht="50.1" hidden="1" customHeight="1">
      <c r="A380" s="17">
        <f t="shared" si="5"/>
        <v>32</v>
      </c>
      <c r="B380" s="14" t="s">
        <v>10</v>
      </c>
      <c r="C380" s="1" t="s">
        <v>108</v>
      </c>
      <c r="D380" s="1" t="s">
        <v>109</v>
      </c>
      <c r="E380" t="s">
        <v>110</v>
      </c>
      <c r="F380" t="s">
        <v>102</v>
      </c>
      <c r="G380" s="3" t="s">
        <v>176</v>
      </c>
      <c r="H380" s="2">
        <v>46204</v>
      </c>
      <c r="I380" s="36"/>
      <c r="J380" s="36">
        <v>0</v>
      </c>
      <c r="K380" s="33">
        <f>SUMIFS($J$2:J380,$C$2:C380,C380)</f>
        <v>0</v>
      </c>
    </row>
    <row r="381" spans="1:11" ht="50.1" hidden="1" customHeight="1">
      <c r="A381" s="17">
        <f t="shared" si="5"/>
        <v>32</v>
      </c>
      <c r="B381" s="14" t="s">
        <v>10</v>
      </c>
      <c r="C381" s="1" t="s">
        <v>108</v>
      </c>
      <c r="D381" s="1" t="s">
        <v>109</v>
      </c>
      <c r="E381" t="s">
        <v>110</v>
      </c>
      <c r="F381" t="s">
        <v>102</v>
      </c>
      <c r="G381" s="3" t="s">
        <v>176</v>
      </c>
      <c r="H381" s="2">
        <v>46235</v>
      </c>
      <c r="I381" s="36"/>
      <c r="J381" s="36">
        <v>0</v>
      </c>
      <c r="K381" s="33">
        <f>SUMIFS($J$2:J381,$C$2:C381,C381)</f>
        <v>0</v>
      </c>
    </row>
    <row r="382" spans="1:11" ht="50.1" hidden="1" customHeight="1">
      <c r="A382" s="17">
        <f t="shared" si="5"/>
        <v>32</v>
      </c>
      <c r="B382" s="14" t="s">
        <v>10</v>
      </c>
      <c r="C382" s="1" t="s">
        <v>108</v>
      </c>
      <c r="D382" s="1" t="s">
        <v>109</v>
      </c>
      <c r="E382" t="s">
        <v>110</v>
      </c>
      <c r="F382" t="s">
        <v>102</v>
      </c>
      <c r="G382" s="3" t="s">
        <v>176</v>
      </c>
      <c r="H382" s="2">
        <v>46266</v>
      </c>
      <c r="I382" s="36"/>
      <c r="J382" s="36">
        <v>0</v>
      </c>
      <c r="K382" s="33">
        <f>SUMIFS($J$2:J382,$C$2:C382,C382)</f>
        <v>0</v>
      </c>
    </row>
    <row r="383" spans="1:11" ht="50.1" hidden="1" customHeight="1">
      <c r="A383" s="17">
        <f t="shared" si="5"/>
        <v>32</v>
      </c>
      <c r="B383" s="14" t="s">
        <v>10</v>
      </c>
      <c r="C383" s="1" t="s">
        <v>108</v>
      </c>
      <c r="D383" s="1" t="s">
        <v>109</v>
      </c>
      <c r="E383" t="s">
        <v>110</v>
      </c>
      <c r="F383" t="s">
        <v>102</v>
      </c>
      <c r="G383" s="3" t="s">
        <v>176</v>
      </c>
      <c r="H383" s="2">
        <v>46296</v>
      </c>
      <c r="I383" s="36"/>
      <c r="J383" s="36">
        <v>0</v>
      </c>
      <c r="K383" s="33">
        <f>SUMIFS($J$2:J383,$C$2:C383,C383)</f>
        <v>0</v>
      </c>
    </row>
    <row r="384" spans="1:11" ht="50.1" hidden="1" customHeight="1">
      <c r="A384" s="17">
        <f t="shared" si="5"/>
        <v>32</v>
      </c>
      <c r="B384" s="14" t="s">
        <v>10</v>
      </c>
      <c r="C384" s="1" t="s">
        <v>108</v>
      </c>
      <c r="D384" s="1" t="s">
        <v>109</v>
      </c>
      <c r="E384" t="s">
        <v>110</v>
      </c>
      <c r="F384" t="s">
        <v>102</v>
      </c>
      <c r="G384" s="3" t="s">
        <v>176</v>
      </c>
      <c r="H384" s="2">
        <v>46327</v>
      </c>
      <c r="I384" s="36"/>
      <c r="J384" s="36">
        <v>0</v>
      </c>
      <c r="K384" s="33">
        <f>SUMIFS($J$2:J384,$C$2:C384,C384)</f>
        <v>0</v>
      </c>
    </row>
    <row r="385" spans="1:11" ht="50.1" hidden="1" customHeight="1">
      <c r="A385" s="17">
        <f t="shared" si="5"/>
        <v>32</v>
      </c>
      <c r="B385" s="14" t="s">
        <v>10</v>
      </c>
      <c r="C385" s="1" t="s">
        <v>108</v>
      </c>
      <c r="D385" s="1" t="s">
        <v>109</v>
      </c>
      <c r="E385" t="s">
        <v>110</v>
      </c>
      <c r="F385" t="s">
        <v>102</v>
      </c>
      <c r="G385" s="3" t="s">
        <v>176</v>
      </c>
      <c r="H385" s="2">
        <v>46357</v>
      </c>
      <c r="I385" s="36">
        <v>1</v>
      </c>
      <c r="J385" s="36">
        <v>0</v>
      </c>
      <c r="K385" s="33">
        <f>SUMIFS($J$2:J385,$C$2:C385,C385)</f>
        <v>0</v>
      </c>
    </row>
    <row r="386" spans="1:11" ht="50.1" hidden="1" customHeight="1">
      <c r="A386" s="17">
        <f t="shared" si="5"/>
        <v>33</v>
      </c>
      <c r="B386" s="14" t="s">
        <v>10</v>
      </c>
      <c r="C386" s="1" t="s">
        <v>111</v>
      </c>
      <c r="D386" s="1" t="s">
        <v>112</v>
      </c>
      <c r="E386" t="s">
        <v>113</v>
      </c>
      <c r="F386" t="s">
        <v>114</v>
      </c>
      <c r="G386" s="3" t="s">
        <v>176</v>
      </c>
      <c r="H386" s="2">
        <v>46023</v>
      </c>
      <c r="I386" s="36"/>
      <c r="J386" s="36">
        <v>0</v>
      </c>
      <c r="K386" s="33">
        <f>SUMIFS($J$2:J386,$C$2:C386,C386)</f>
        <v>0</v>
      </c>
    </row>
    <row r="387" spans="1:11" ht="50.1" hidden="1" customHeight="1">
      <c r="A387" s="17">
        <f t="shared" ref="A387:A450" si="6">INT((ROW(A387)-2)/12)+1</f>
        <v>33</v>
      </c>
      <c r="B387" s="14" t="s">
        <v>10</v>
      </c>
      <c r="C387" s="1" t="s">
        <v>111</v>
      </c>
      <c r="D387" s="1" t="s">
        <v>112</v>
      </c>
      <c r="E387" t="s">
        <v>113</v>
      </c>
      <c r="F387" t="s">
        <v>114</v>
      </c>
      <c r="G387" s="3" t="s">
        <v>176</v>
      </c>
      <c r="H387" s="2">
        <v>46054</v>
      </c>
      <c r="I387" s="36"/>
      <c r="J387" s="36">
        <v>0</v>
      </c>
      <c r="K387" s="33">
        <f>SUMIFS($J$2:J387,$C$2:C387,C387)</f>
        <v>0</v>
      </c>
    </row>
    <row r="388" spans="1:11" ht="50.1" hidden="1" customHeight="1">
      <c r="A388" s="17">
        <f t="shared" si="6"/>
        <v>33</v>
      </c>
      <c r="B388" s="14" t="s">
        <v>10</v>
      </c>
      <c r="C388" s="1" t="s">
        <v>111</v>
      </c>
      <c r="D388" s="1" t="s">
        <v>112</v>
      </c>
      <c r="E388" t="s">
        <v>113</v>
      </c>
      <c r="F388" t="s">
        <v>114</v>
      </c>
      <c r="G388" s="3" t="s">
        <v>176</v>
      </c>
      <c r="H388" s="2">
        <v>46082</v>
      </c>
      <c r="I388" s="36"/>
      <c r="J388" s="36">
        <v>0</v>
      </c>
      <c r="K388" s="33">
        <f>SUMIFS($J$2:J388,$C$2:C388,C388)</f>
        <v>0</v>
      </c>
    </row>
    <row r="389" spans="1:11" ht="50.1" hidden="1" customHeight="1">
      <c r="A389" s="17">
        <f t="shared" si="6"/>
        <v>33</v>
      </c>
      <c r="B389" s="14" t="s">
        <v>10</v>
      </c>
      <c r="C389" s="1" t="s">
        <v>111</v>
      </c>
      <c r="D389" s="1" t="s">
        <v>112</v>
      </c>
      <c r="E389" t="s">
        <v>113</v>
      </c>
      <c r="F389" t="s">
        <v>114</v>
      </c>
      <c r="G389" s="3" t="s">
        <v>176</v>
      </c>
      <c r="H389" s="2">
        <v>46113</v>
      </c>
      <c r="I389" s="36"/>
      <c r="J389" s="36">
        <v>0</v>
      </c>
      <c r="K389" s="33">
        <f>SUMIFS($J$2:J389,$C$2:C389,C389)</f>
        <v>0</v>
      </c>
    </row>
    <row r="390" spans="1:11" ht="50.1" hidden="1" customHeight="1">
      <c r="A390" s="17">
        <f t="shared" si="6"/>
        <v>33</v>
      </c>
      <c r="B390" s="14" t="s">
        <v>10</v>
      </c>
      <c r="C390" s="1" t="s">
        <v>111</v>
      </c>
      <c r="D390" s="1" t="s">
        <v>112</v>
      </c>
      <c r="E390" t="s">
        <v>113</v>
      </c>
      <c r="F390" t="s">
        <v>114</v>
      </c>
      <c r="G390" s="3" t="s">
        <v>176</v>
      </c>
      <c r="H390" s="2">
        <v>46143</v>
      </c>
      <c r="I390" s="36"/>
      <c r="J390" s="36">
        <v>0</v>
      </c>
      <c r="K390" s="33">
        <f>SUMIFS($J$2:J390,$C$2:C390,C390)</f>
        <v>0</v>
      </c>
    </row>
    <row r="391" spans="1:11" ht="50.1" hidden="1" customHeight="1">
      <c r="A391" s="17">
        <f t="shared" si="6"/>
        <v>33</v>
      </c>
      <c r="B391" s="14" t="s">
        <v>10</v>
      </c>
      <c r="C391" s="1" t="s">
        <v>111</v>
      </c>
      <c r="D391" s="1" t="s">
        <v>112</v>
      </c>
      <c r="E391" t="s">
        <v>113</v>
      </c>
      <c r="F391" t="s">
        <v>114</v>
      </c>
      <c r="G391" s="3" t="s">
        <v>176</v>
      </c>
      <c r="H391" s="2">
        <v>46174</v>
      </c>
      <c r="I391" s="36"/>
      <c r="J391" s="36">
        <v>0</v>
      </c>
      <c r="K391" s="33">
        <f>SUMIFS($J$2:J391,$C$2:C391,C391)</f>
        <v>0</v>
      </c>
    </row>
    <row r="392" spans="1:11" ht="50.1" hidden="1" customHeight="1">
      <c r="A392" s="17">
        <f t="shared" si="6"/>
        <v>33</v>
      </c>
      <c r="B392" s="14" t="s">
        <v>10</v>
      </c>
      <c r="C392" s="1" t="s">
        <v>111</v>
      </c>
      <c r="D392" s="1" t="s">
        <v>112</v>
      </c>
      <c r="E392" t="s">
        <v>113</v>
      </c>
      <c r="F392" t="s">
        <v>114</v>
      </c>
      <c r="G392" s="3" t="s">
        <v>176</v>
      </c>
      <c r="H392" s="2">
        <v>46204</v>
      </c>
      <c r="I392" s="36"/>
      <c r="J392" s="36">
        <v>0</v>
      </c>
      <c r="K392" s="33">
        <f>SUMIFS($J$2:J392,$C$2:C392,C392)</f>
        <v>0</v>
      </c>
    </row>
    <row r="393" spans="1:11" ht="50.1" hidden="1" customHeight="1">
      <c r="A393" s="17">
        <f t="shared" si="6"/>
        <v>33</v>
      </c>
      <c r="B393" s="14" t="s">
        <v>10</v>
      </c>
      <c r="C393" s="1" t="s">
        <v>111</v>
      </c>
      <c r="D393" s="1" t="s">
        <v>112</v>
      </c>
      <c r="E393" t="s">
        <v>113</v>
      </c>
      <c r="F393" t="s">
        <v>114</v>
      </c>
      <c r="G393" s="3" t="s">
        <v>176</v>
      </c>
      <c r="H393" s="2">
        <v>46235</v>
      </c>
      <c r="I393" s="36"/>
      <c r="J393" s="36">
        <v>0</v>
      </c>
      <c r="K393" s="33">
        <f>SUMIFS($J$2:J393,$C$2:C393,C393)</f>
        <v>0</v>
      </c>
    </row>
    <row r="394" spans="1:11" ht="50.1" hidden="1" customHeight="1">
      <c r="A394" s="17">
        <f t="shared" si="6"/>
        <v>33</v>
      </c>
      <c r="B394" s="14" t="s">
        <v>10</v>
      </c>
      <c r="C394" s="1" t="s">
        <v>111</v>
      </c>
      <c r="D394" s="1" t="s">
        <v>112</v>
      </c>
      <c r="E394" t="s">
        <v>113</v>
      </c>
      <c r="F394" t="s">
        <v>114</v>
      </c>
      <c r="G394" s="3" t="s">
        <v>176</v>
      </c>
      <c r="H394" s="2">
        <v>46266</v>
      </c>
      <c r="I394" s="36"/>
      <c r="J394" s="36">
        <v>0</v>
      </c>
      <c r="K394" s="33">
        <f>SUMIFS($J$2:J394,$C$2:C394,C394)</f>
        <v>0</v>
      </c>
    </row>
    <row r="395" spans="1:11" ht="50.1" hidden="1" customHeight="1">
      <c r="A395" s="17">
        <f t="shared" si="6"/>
        <v>33</v>
      </c>
      <c r="B395" s="14" t="s">
        <v>10</v>
      </c>
      <c r="C395" s="1" t="s">
        <v>111</v>
      </c>
      <c r="D395" s="1" t="s">
        <v>112</v>
      </c>
      <c r="E395" t="s">
        <v>113</v>
      </c>
      <c r="F395" t="s">
        <v>114</v>
      </c>
      <c r="G395" s="3" t="s">
        <v>176</v>
      </c>
      <c r="H395" s="2">
        <v>46296</v>
      </c>
      <c r="I395" s="36"/>
      <c r="J395" s="36">
        <v>0</v>
      </c>
      <c r="K395" s="33">
        <f>SUMIFS($J$2:J395,$C$2:C395,C395)</f>
        <v>0</v>
      </c>
    </row>
    <row r="396" spans="1:11" ht="50.1" hidden="1" customHeight="1">
      <c r="A396" s="17">
        <f t="shared" si="6"/>
        <v>33</v>
      </c>
      <c r="B396" s="14" t="s">
        <v>10</v>
      </c>
      <c r="C396" s="1" t="s">
        <v>111</v>
      </c>
      <c r="D396" s="1" t="s">
        <v>112</v>
      </c>
      <c r="E396" t="s">
        <v>113</v>
      </c>
      <c r="F396" t="s">
        <v>114</v>
      </c>
      <c r="G396" s="3" t="s">
        <v>176</v>
      </c>
      <c r="H396" s="2">
        <v>46327</v>
      </c>
      <c r="I396" s="36"/>
      <c r="J396" s="36">
        <v>0</v>
      </c>
      <c r="K396" s="33">
        <f>SUMIFS($J$2:J396,$C$2:C396,C396)</f>
        <v>0</v>
      </c>
    </row>
    <row r="397" spans="1:11" ht="50.1" hidden="1" customHeight="1">
      <c r="A397" s="17">
        <f t="shared" si="6"/>
        <v>33</v>
      </c>
      <c r="B397" s="14" t="s">
        <v>10</v>
      </c>
      <c r="C397" s="1" t="s">
        <v>111</v>
      </c>
      <c r="D397" s="1" t="s">
        <v>112</v>
      </c>
      <c r="E397" t="s">
        <v>113</v>
      </c>
      <c r="F397" t="s">
        <v>114</v>
      </c>
      <c r="G397" s="3" t="s">
        <v>176</v>
      </c>
      <c r="H397" s="2">
        <v>46357</v>
      </c>
      <c r="I397" s="36">
        <v>1</v>
      </c>
      <c r="J397" s="36">
        <v>0</v>
      </c>
      <c r="K397" s="33">
        <f>SUMIFS($J$2:J397,$C$2:C397,C397)</f>
        <v>0</v>
      </c>
    </row>
    <row r="398" spans="1:11" ht="60">
      <c r="A398" s="17">
        <f t="shared" si="6"/>
        <v>34</v>
      </c>
      <c r="B398" s="14" t="s">
        <v>12</v>
      </c>
      <c r="C398" s="1" t="s">
        <v>115</v>
      </c>
      <c r="D398" s="1" t="s">
        <v>116</v>
      </c>
      <c r="F398" t="s">
        <v>114</v>
      </c>
      <c r="G398" s="3" t="s">
        <v>176</v>
      </c>
      <c r="H398" s="2">
        <v>46023</v>
      </c>
      <c r="I398" s="36">
        <v>0.9</v>
      </c>
      <c r="J398" s="36">
        <v>0</v>
      </c>
      <c r="K398" s="33">
        <f>SUMIFS($J$2:J398,$C$2:C398,C398)</f>
        <v>0</v>
      </c>
    </row>
    <row r="399" spans="1:11" ht="60">
      <c r="A399" s="17">
        <f t="shared" si="6"/>
        <v>34</v>
      </c>
      <c r="B399" s="14" t="s">
        <v>12</v>
      </c>
      <c r="C399" s="1" t="s">
        <v>115</v>
      </c>
      <c r="D399" s="1" t="s">
        <v>116</v>
      </c>
      <c r="F399" t="s">
        <v>114</v>
      </c>
      <c r="G399" s="3" t="s">
        <v>176</v>
      </c>
      <c r="H399" s="2">
        <v>46054</v>
      </c>
      <c r="I399" s="36">
        <v>0.9</v>
      </c>
      <c r="J399" s="36">
        <v>0</v>
      </c>
      <c r="K399" s="33">
        <f>SUMIFS($J$2:J399,$C$2:C399,C399)</f>
        <v>0</v>
      </c>
    </row>
    <row r="400" spans="1:11" ht="60">
      <c r="A400" s="17">
        <f t="shared" si="6"/>
        <v>34</v>
      </c>
      <c r="B400" s="14" t="s">
        <v>12</v>
      </c>
      <c r="C400" s="1" t="s">
        <v>115</v>
      </c>
      <c r="D400" s="1" t="s">
        <v>116</v>
      </c>
      <c r="F400" t="s">
        <v>114</v>
      </c>
      <c r="G400" s="3" t="s">
        <v>176</v>
      </c>
      <c r="H400" s="2">
        <v>46082</v>
      </c>
      <c r="I400" s="36">
        <v>0.9</v>
      </c>
      <c r="J400" s="36">
        <v>0</v>
      </c>
      <c r="K400" s="33">
        <f>SUMIFS($J$2:J400,$C$2:C400,C400)</f>
        <v>0</v>
      </c>
    </row>
    <row r="401" spans="1:11" ht="60">
      <c r="A401" s="17">
        <f t="shared" si="6"/>
        <v>34</v>
      </c>
      <c r="B401" s="14" t="s">
        <v>12</v>
      </c>
      <c r="C401" s="1" t="s">
        <v>115</v>
      </c>
      <c r="D401" s="1" t="s">
        <v>116</v>
      </c>
      <c r="F401" t="s">
        <v>114</v>
      </c>
      <c r="G401" s="3" t="s">
        <v>176</v>
      </c>
      <c r="H401" s="2">
        <v>46113</v>
      </c>
      <c r="I401" s="36">
        <v>0.9</v>
      </c>
      <c r="J401" s="36">
        <v>0</v>
      </c>
      <c r="K401" s="33">
        <f>SUMIFS($J$2:J401,$C$2:C401,C401)</f>
        <v>0</v>
      </c>
    </row>
    <row r="402" spans="1:11" ht="60">
      <c r="A402" s="17">
        <f t="shared" si="6"/>
        <v>34</v>
      </c>
      <c r="B402" s="14" t="s">
        <v>12</v>
      </c>
      <c r="C402" s="1" t="s">
        <v>115</v>
      </c>
      <c r="D402" s="1" t="s">
        <v>116</v>
      </c>
      <c r="F402" t="s">
        <v>114</v>
      </c>
      <c r="G402" s="3" t="s">
        <v>176</v>
      </c>
      <c r="H402" s="2">
        <v>46143</v>
      </c>
      <c r="I402" s="36">
        <v>0.9</v>
      </c>
      <c r="J402" s="36">
        <v>0</v>
      </c>
      <c r="K402" s="33">
        <f>SUMIFS($J$2:J402,$C$2:C402,C402)</f>
        <v>0</v>
      </c>
    </row>
    <row r="403" spans="1:11" ht="60">
      <c r="A403" s="17">
        <f t="shared" si="6"/>
        <v>34</v>
      </c>
      <c r="B403" s="14" t="s">
        <v>12</v>
      </c>
      <c r="C403" s="1" t="s">
        <v>115</v>
      </c>
      <c r="D403" s="1" t="s">
        <v>116</v>
      </c>
      <c r="F403" t="s">
        <v>114</v>
      </c>
      <c r="G403" s="3" t="s">
        <v>176</v>
      </c>
      <c r="H403" s="2">
        <v>46174</v>
      </c>
      <c r="I403" s="36">
        <v>0.9</v>
      </c>
      <c r="J403" s="36">
        <v>0</v>
      </c>
      <c r="K403" s="33">
        <f>SUMIFS($J$2:J403,$C$2:C403,C403)</f>
        <v>0</v>
      </c>
    </row>
    <row r="404" spans="1:11" ht="60">
      <c r="A404" s="17">
        <f t="shared" si="6"/>
        <v>34</v>
      </c>
      <c r="B404" s="14" t="s">
        <v>12</v>
      </c>
      <c r="C404" s="1" t="s">
        <v>115</v>
      </c>
      <c r="D404" s="1" t="s">
        <v>116</v>
      </c>
      <c r="F404" t="s">
        <v>114</v>
      </c>
      <c r="G404" s="3" t="s">
        <v>176</v>
      </c>
      <c r="H404" s="2">
        <v>46204</v>
      </c>
      <c r="I404" s="36">
        <v>0.9</v>
      </c>
      <c r="J404" s="36">
        <v>0</v>
      </c>
      <c r="K404" s="33">
        <f>SUMIFS($J$2:J404,$C$2:C404,C404)</f>
        <v>0</v>
      </c>
    </row>
    <row r="405" spans="1:11" ht="60">
      <c r="A405" s="17">
        <f t="shared" si="6"/>
        <v>34</v>
      </c>
      <c r="B405" s="14" t="s">
        <v>12</v>
      </c>
      <c r="C405" s="1" t="s">
        <v>115</v>
      </c>
      <c r="D405" s="1" t="s">
        <v>116</v>
      </c>
      <c r="F405" t="s">
        <v>114</v>
      </c>
      <c r="G405" s="3" t="s">
        <v>176</v>
      </c>
      <c r="H405" s="2">
        <v>46235</v>
      </c>
      <c r="I405" s="36">
        <v>0.9</v>
      </c>
      <c r="J405" s="36">
        <v>0</v>
      </c>
      <c r="K405" s="33">
        <f>SUMIFS($J$2:J405,$C$2:C405,C405)</f>
        <v>0</v>
      </c>
    </row>
    <row r="406" spans="1:11" ht="60">
      <c r="A406" s="17">
        <f t="shared" si="6"/>
        <v>34</v>
      </c>
      <c r="B406" s="14" t="s">
        <v>12</v>
      </c>
      <c r="C406" s="1" t="s">
        <v>115</v>
      </c>
      <c r="D406" s="1" t="s">
        <v>116</v>
      </c>
      <c r="F406" t="s">
        <v>114</v>
      </c>
      <c r="G406" s="3" t="s">
        <v>176</v>
      </c>
      <c r="H406" s="2">
        <v>46266</v>
      </c>
      <c r="I406" s="36">
        <v>0.9</v>
      </c>
      <c r="J406" s="36">
        <v>0</v>
      </c>
      <c r="K406" s="33">
        <f>SUMIFS($J$2:J406,$C$2:C406,C406)</f>
        <v>0</v>
      </c>
    </row>
    <row r="407" spans="1:11" ht="60">
      <c r="A407" s="17">
        <f t="shared" si="6"/>
        <v>34</v>
      </c>
      <c r="B407" s="14" t="s">
        <v>12</v>
      </c>
      <c r="C407" s="1" t="s">
        <v>115</v>
      </c>
      <c r="D407" s="1" t="s">
        <v>116</v>
      </c>
      <c r="F407" t="s">
        <v>114</v>
      </c>
      <c r="G407" s="3" t="s">
        <v>176</v>
      </c>
      <c r="H407" s="2">
        <v>46296</v>
      </c>
      <c r="I407" s="36">
        <v>0.9</v>
      </c>
      <c r="J407" s="36">
        <v>0</v>
      </c>
      <c r="K407" s="33">
        <f>SUMIFS($J$2:J407,$C$2:C407,C407)</f>
        <v>0</v>
      </c>
    </row>
    <row r="408" spans="1:11" ht="60">
      <c r="A408" s="17">
        <f t="shared" si="6"/>
        <v>34</v>
      </c>
      <c r="B408" s="14" t="s">
        <v>12</v>
      </c>
      <c r="C408" s="1" t="s">
        <v>115</v>
      </c>
      <c r="D408" s="1" t="s">
        <v>116</v>
      </c>
      <c r="F408" t="s">
        <v>114</v>
      </c>
      <c r="G408" s="3" t="s">
        <v>176</v>
      </c>
      <c r="H408" s="2">
        <v>46327</v>
      </c>
      <c r="I408" s="36">
        <v>0.9</v>
      </c>
      <c r="J408" s="36">
        <v>0</v>
      </c>
      <c r="K408" s="33">
        <f>SUMIFS($J$2:J408,$C$2:C408,C408)</f>
        <v>0</v>
      </c>
    </row>
    <row r="409" spans="1:11" ht="60">
      <c r="A409" s="17">
        <f t="shared" si="6"/>
        <v>34</v>
      </c>
      <c r="B409" s="14" t="s">
        <v>12</v>
      </c>
      <c r="C409" s="1" t="s">
        <v>115</v>
      </c>
      <c r="D409" s="1" t="s">
        <v>116</v>
      </c>
      <c r="F409" t="s">
        <v>114</v>
      </c>
      <c r="G409" s="3" t="s">
        <v>176</v>
      </c>
      <c r="H409" s="2">
        <v>46357</v>
      </c>
      <c r="I409" s="36">
        <v>0.9</v>
      </c>
      <c r="J409" s="36">
        <v>0</v>
      </c>
      <c r="K409" s="33">
        <f>SUMIFS($J$2:J409,$C$2:C409,C409)</f>
        <v>0</v>
      </c>
    </row>
    <row r="410" spans="1:11" ht="60">
      <c r="A410" s="17">
        <f t="shared" si="6"/>
        <v>35</v>
      </c>
      <c r="B410" s="14" t="s">
        <v>11</v>
      </c>
      <c r="C410" s="1" t="s">
        <v>117</v>
      </c>
      <c r="D410" s="1" t="s">
        <v>118</v>
      </c>
      <c r="F410" t="s">
        <v>114</v>
      </c>
      <c r="G410" s="3" t="s">
        <v>176</v>
      </c>
      <c r="H410" s="2">
        <v>46023</v>
      </c>
      <c r="I410" s="36">
        <v>0.9</v>
      </c>
      <c r="J410" s="36">
        <v>0</v>
      </c>
      <c r="K410" s="33">
        <f>SUMIFS($J$2:J410,$C$2:C410,C410)</f>
        <v>0</v>
      </c>
    </row>
    <row r="411" spans="1:11" ht="60">
      <c r="A411" s="17">
        <f t="shared" si="6"/>
        <v>35</v>
      </c>
      <c r="B411" s="14" t="s">
        <v>11</v>
      </c>
      <c r="C411" s="1" t="s">
        <v>117</v>
      </c>
      <c r="D411" s="1" t="s">
        <v>118</v>
      </c>
      <c r="F411" t="s">
        <v>114</v>
      </c>
      <c r="G411" s="3" t="s">
        <v>176</v>
      </c>
      <c r="H411" s="2">
        <v>46054</v>
      </c>
      <c r="I411" s="36">
        <v>0.9</v>
      </c>
      <c r="J411" s="36">
        <v>0</v>
      </c>
      <c r="K411" s="33">
        <f>SUMIFS($J$2:J411,$C$2:C411,C411)</f>
        <v>0</v>
      </c>
    </row>
    <row r="412" spans="1:11" ht="60">
      <c r="A412" s="17">
        <f t="shared" si="6"/>
        <v>35</v>
      </c>
      <c r="B412" s="14" t="s">
        <v>11</v>
      </c>
      <c r="C412" s="1" t="s">
        <v>117</v>
      </c>
      <c r="D412" s="1" t="s">
        <v>118</v>
      </c>
      <c r="F412" t="s">
        <v>114</v>
      </c>
      <c r="G412" s="3" t="s">
        <v>176</v>
      </c>
      <c r="H412" s="2">
        <v>46082</v>
      </c>
      <c r="I412" s="36">
        <v>0.9</v>
      </c>
      <c r="J412" s="36">
        <v>0</v>
      </c>
      <c r="K412" s="33">
        <f>SUMIFS($J$2:J412,$C$2:C412,C412)</f>
        <v>0</v>
      </c>
    </row>
    <row r="413" spans="1:11" ht="60">
      <c r="A413" s="17">
        <f t="shared" si="6"/>
        <v>35</v>
      </c>
      <c r="B413" s="14" t="s">
        <v>11</v>
      </c>
      <c r="C413" s="1" t="s">
        <v>117</v>
      </c>
      <c r="D413" s="1" t="s">
        <v>118</v>
      </c>
      <c r="F413" t="s">
        <v>114</v>
      </c>
      <c r="G413" s="3" t="s">
        <v>176</v>
      </c>
      <c r="H413" s="2">
        <v>46113</v>
      </c>
      <c r="I413" s="36">
        <v>0.9</v>
      </c>
      <c r="J413" s="36">
        <v>0</v>
      </c>
      <c r="K413" s="33">
        <f>SUMIFS($J$2:J413,$C$2:C413,C413)</f>
        <v>0</v>
      </c>
    </row>
    <row r="414" spans="1:11" ht="60">
      <c r="A414" s="17">
        <f t="shared" si="6"/>
        <v>35</v>
      </c>
      <c r="B414" s="14" t="s">
        <v>11</v>
      </c>
      <c r="C414" s="1" t="s">
        <v>117</v>
      </c>
      <c r="D414" s="1" t="s">
        <v>118</v>
      </c>
      <c r="F414" t="s">
        <v>114</v>
      </c>
      <c r="G414" s="3" t="s">
        <v>176</v>
      </c>
      <c r="H414" s="2">
        <v>46143</v>
      </c>
      <c r="I414" s="36">
        <v>0.9</v>
      </c>
      <c r="J414" s="36">
        <v>0</v>
      </c>
      <c r="K414" s="33">
        <f>SUMIFS($J$2:J414,$C$2:C414,C414)</f>
        <v>0</v>
      </c>
    </row>
    <row r="415" spans="1:11" ht="60">
      <c r="A415" s="17">
        <f t="shared" si="6"/>
        <v>35</v>
      </c>
      <c r="B415" s="14" t="s">
        <v>11</v>
      </c>
      <c r="C415" s="1" t="s">
        <v>117</v>
      </c>
      <c r="D415" s="1" t="s">
        <v>118</v>
      </c>
      <c r="F415" t="s">
        <v>114</v>
      </c>
      <c r="G415" s="3" t="s">
        <v>176</v>
      </c>
      <c r="H415" s="2">
        <v>46174</v>
      </c>
      <c r="I415" s="36">
        <v>0.9</v>
      </c>
      <c r="J415" s="36">
        <v>0</v>
      </c>
      <c r="K415" s="33">
        <f>SUMIFS($J$2:J415,$C$2:C415,C415)</f>
        <v>0</v>
      </c>
    </row>
    <row r="416" spans="1:11" ht="60">
      <c r="A416" s="17">
        <f t="shared" si="6"/>
        <v>35</v>
      </c>
      <c r="B416" s="14" t="s">
        <v>11</v>
      </c>
      <c r="C416" s="1" t="s">
        <v>117</v>
      </c>
      <c r="D416" s="1" t="s">
        <v>118</v>
      </c>
      <c r="F416" t="s">
        <v>114</v>
      </c>
      <c r="G416" s="3" t="s">
        <v>176</v>
      </c>
      <c r="H416" s="2">
        <v>46204</v>
      </c>
      <c r="I416" s="36">
        <v>0.9</v>
      </c>
      <c r="J416" s="36">
        <v>0</v>
      </c>
      <c r="K416" s="33">
        <f>SUMIFS($J$2:J416,$C$2:C416,C416)</f>
        <v>0</v>
      </c>
    </row>
    <row r="417" spans="1:11" ht="60">
      <c r="A417" s="17">
        <f t="shared" si="6"/>
        <v>35</v>
      </c>
      <c r="B417" s="14" t="s">
        <v>11</v>
      </c>
      <c r="C417" s="1" t="s">
        <v>117</v>
      </c>
      <c r="D417" s="1" t="s">
        <v>118</v>
      </c>
      <c r="F417" t="s">
        <v>114</v>
      </c>
      <c r="G417" s="3" t="s">
        <v>176</v>
      </c>
      <c r="H417" s="2">
        <v>46235</v>
      </c>
      <c r="I417" s="36">
        <v>0.9</v>
      </c>
      <c r="J417" s="36">
        <v>0</v>
      </c>
      <c r="K417" s="33">
        <f>SUMIFS($J$2:J417,$C$2:C417,C417)</f>
        <v>0</v>
      </c>
    </row>
    <row r="418" spans="1:11" ht="60">
      <c r="A418" s="17">
        <f t="shared" si="6"/>
        <v>35</v>
      </c>
      <c r="B418" s="14" t="s">
        <v>11</v>
      </c>
      <c r="C418" s="1" t="s">
        <v>117</v>
      </c>
      <c r="D418" s="1" t="s">
        <v>118</v>
      </c>
      <c r="F418" t="s">
        <v>114</v>
      </c>
      <c r="G418" s="3" t="s">
        <v>176</v>
      </c>
      <c r="H418" s="2">
        <v>46266</v>
      </c>
      <c r="I418" s="36">
        <v>0.9</v>
      </c>
      <c r="J418" s="36">
        <v>0</v>
      </c>
      <c r="K418" s="33">
        <f>SUMIFS($J$2:J418,$C$2:C418,C418)</f>
        <v>0</v>
      </c>
    </row>
    <row r="419" spans="1:11" ht="60">
      <c r="A419" s="17">
        <f t="shared" si="6"/>
        <v>35</v>
      </c>
      <c r="B419" s="14" t="s">
        <v>11</v>
      </c>
      <c r="C419" s="1" t="s">
        <v>117</v>
      </c>
      <c r="D419" s="1" t="s">
        <v>118</v>
      </c>
      <c r="F419" t="s">
        <v>114</v>
      </c>
      <c r="G419" s="3" t="s">
        <v>176</v>
      </c>
      <c r="H419" s="2">
        <v>46296</v>
      </c>
      <c r="I419" s="36">
        <v>0.9</v>
      </c>
      <c r="J419" s="36">
        <v>0</v>
      </c>
      <c r="K419" s="33">
        <f>SUMIFS($J$2:J419,$C$2:C419,C419)</f>
        <v>0</v>
      </c>
    </row>
    <row r="420" spans="1:11" ht="60">
      <c r="A420" s="17">
        <f t="shared" si="6"/>
        <v>35</v>
      </c>
      <c r="B420" s="14" t="s">
        <v>11</v>
      </c>
      <c r="C420" s="1" t="s">
        <v>117</v>
      </c>
      <c r="D420" s="1" t="s">
        <v>118</v>
      </c>
      <c r="F420" t="s">
        <v>114</v>
      </c>
      <c r="G420" s="3" t="s">
        <v>176</v>
      </c>
      <c r="H420" s="2">
        <v>46327</v>
      </c>
      <c r="I420" s="36">
        <v>0.9</v>
      </c>
      <c r="J420" s="36">
        <v>0</v>
      </c>
      <c r="K420" s="33">
        <f>SUMIFS($J$2:J420,$C$2:C420,C420)</f>
        <v>0</v>
      </c>
    </row>
    <row r="421" spans="1:11" ht="60">
      <c r="A421" s="17">
        <f t="shared" si="6"/>
        <v>35</v>
      </c>
      <c r="B421" s="14" t="s">
        <v>11</v>
      </c>
      <c r="C421" s="1" t="s">
        <v>117</v>
      </c>
      <c r="D421" s="1" t="s">
        <v>118</v>
      </c>
      <c r="F421" t="s">
        <v>114</v>
      </c>
      <c r="G421" s="3" t="s">
        <v>176</v>
      </c>
      <c r="H421" s="2">
        <v>46357</v>
      </c>
      <c r="I421" s="36">
        <v>0.9</v>
      </c>
      <c r="J421" s="36">
        <v>0</v>
      </c>
      <c r="K421" s="33">
        <f>SUMIFS($J$2:J421,$C$2:C421,C421)</f>
        <v>0</v>
      </c>
    </row>
    <row r="422" spans="1:11" ht="50.1" hidden="1" customHeight="1">
      <c r="A422" s="17">
        <f t="shared" si="6"/>
        <v>36</v>
      </c>
      <c r="B422" s="14" t="s">
        <v>10</v>
      </c>
      <c r="C422" s="1" t="s">
        <v>119</v>
      </c>
      <c r="D422" s="1" t="s">
        <v>120</v>
      </c>
      <c r="E422" t="s">
        <v>121</v>
      </c>
      <c r="F422" t="s">
        <v>122</v>
      </c>
      <c r="G422" s="3" t="s">
        <v>176</v>
      </c>
      <c r="H422" s="2">
        <v>46023</v>
      </c>
      <c r="I422" s="36"/>
      <c r="J422" s="36">
        <v>0</v>
      </c>
      <c r="K422" s="33">
        <f>SUMIFS($J$2:J422,$C$2:C422,C422)</f>
        <v>0</v>
      </c>
    </row>
    <row r="423" spans="1:11" ht="50.1" hidden="1" customHeight="1">
      <c r="A423" s="17">
        <f t="shared" si="6"/>
        <v>36</v>
      </c>
      <c r="B423" s="14" t="s">
        <v>10</v>
      </c>
      <c r="C423" s="1" t="s">
        <v>119</v>
      </c>
      <c r="D423" s="1" t="s">
        <v>120</v>
      </c>
      <c r="E423" t="s">
        <v>121</v>
      </c>
      <c r="F423" t="s">
        <v>122</v>
      </c>
      <c r="G423" s="3" t="s">
        <v>176</v>
      </c>
      <c r="H423" s="2">
        <v>46054</v>
      </c>
      <c r="I423" s="36"/>
      <c r="J423" s="36">
        <v>0</v>
      </c>
      <c r="K423" s="33">
        <f>SUMIFS($J$2:J423,$C$2:C423,C423)</f>
        <v>0</v>
      </c>
    </row>
    <row r="424" spans="1:11" ht="50.1" hidden="1" customHeight="1">
      <c r="A424" s="17">
        <f t="shared" si="6"/>
        <v>36</v>
      </c>
      <c r="B424" s="14" t="s">
        <v>10</v>
      </c>
      <c r="C424" s="1" t="s">
        <v>119</v>
      </c>
      <c r="D424" s="1" t="s">
        <v>120</v>
      </c>
      <c r="E424" t="s">
        <v>121</v>
      </c>
      <c r="F424" t="s">
        <v>122</v>
      </c>
      <c r="G424" s="3" t="s">
        <v>176</v>
      </c>
      <c r="H424" s="2">
        <v>46082</v>
      </c>
      <c r="I424" s="36"/>
      <c r="J424" s="36">
        <v>0</v>
      </c>
      <c r="K424" s="33">
        <f>SUMIFS($J$2:J424,$C$2:C424,C424)</f>
        <v>0</v>
      </c>
    </row>
    <row r="425" spans="1:11" ht="50.1" hidden="1" customHeight="1">
      <c r="A425" s="17">
        <f t="shared" si="6"/>
        <v>36</v>
      </c>
      <c r="B425" s="14" t="s">
        <v>10</v>
      </c>
      <c r="C425" s="1" t="s">
        <v>119</v>
      </c>
      <c r="D425" s="1" t="s">
        <v>120</v>
      </c>
      <c r="E425" t="s">
        <v>121</v>
      </c>
      <c r="F425" t="s">
        <v>122</v>
      </c>
      <c r="G425" s="3" t="s">
        <v>176</v>
      </c>
      <c r="H425" s="2">
        <v>46113</v>
      </c>
      <c r="I425" s="36"/>
      <c r="J425" s="36">
        <v>0</v>
      </c>
      <c r="K425" s="33">
        <f>SUMIFS($J$2:J425,$C$2:C425,C425)</f>
        <v>0</v>
      </c>
    </row>
    <row r="426" spans="1:11" ht="50.1" hidden="1" customHeight="1">
      <c r="A426" s="17">
        <f t="shared" si="6"/>
        <v>36</v>
      </c>
      <c r="B426" s="14" t="s">
        <v>10</v>
      </c>
      <c r="C426" s="1" t="s">
        <v>119</v>
      </c>
      <c r="D426" s="1" t="s">
        <v>120</v>
      </c>
      <c r="E426" t="s">
        <v>121</v>
      </c>
      <c r="F426" t="s">
        <v>122</v>
      </c>
      <c r="G426" s="3" t="s">
        <v>176</v>
      </c>
      <c r="H426" s="2">
        <v>46143</v>
      </c>
      <c r="I426" s="36"/>
      <c r="J426" s="36">
        <v>0</v>
      </c>
      <c r="K426" s="33">
        <f>SUMIFS($J$2:J426,$C$2:C426,C426)</f>
        <v>0</v>
      </c>
    </row>
    <row r="427" spans="1:11" ht="50.1" hidden="1" customHeight="1">
      <c r="A427" s="17">
        <f t="shared" si="6"/>
        <v>36</v>
      </c>
      <c r="B427" s="14" t="s">
        <v>10</v>
      </c>
      <c r="C427" s="1" t="s">
        <v>119</v>
      </c>
      <c r="D427" s="1" t="s">
        <v>120</v>
      </c>
      <c r="E427" t="s">
        <v>121</v>
      </c>
      <c r="F427" t="s">
        <v>122</v>
      </c>
      <c r="G427" s="3" t="s">
        <v>176</v>
      </c>
      <c r="H427" s="2">
        <v>46174</v>
      </c>
      <c r="I427" s="36"/>
      <c r="J427" s="36">
        <v>0</v>
      </c>
      <c r="K427" s="33">
        <f>SUMIFS($J$2:J427,$C$2:C427,C427)</f>
        <v>0</v>
      </c>
    </row>
    <row r="428" spans="1:11" ht="50.1" hidden="1" customHeight="1">
      <c r="A428" s="17">
        <f t="shared" si="6"/>
        <v>36</v>
      </c>
      <c r="B428" s="14" t="s">
        <v>10</v>
      </c>
      <c r="C428" s="1" t="s">
        <v>119</v>
      </c>
      <c r="D428" s="1" t="s">
        <v>120</v>
      </c>
      <c r="E428" t="s">
        <v>121</v>
      </c>
      <c r="F428" t="s">
        <v>122</v>
      </c>
      <c r="G428" s="3" t="s">
        <v>176</v>
      </c>
      <c r="H428" s="2">
        <v>46204</v>
      </c>
      <c r="I428" s="36"/>
      <c r="J428" s="36">
        <v>0</v>
      </c>
      <c r="K428" s="33">
        <f>SUMIFS($J$2:J428,$C$2:C428,C428)</f>
        <v>0</v>
      </c>
    </row>
    <row r="429" spans="1:11" ht="50.1" hidden="1" customHeight="1">
      <c r="A429" s="17">
        <f t="shared" si="6"/>
        <v>36</v>
      </c>
      <c r="B429" s="14" t="s">
        <v>10</v>
      </c>
      <c r="C429" s="1" t="s">
        <v>119</v>
      </c>
      <c r="D429" s="1" t="s">
        <v>120</v>
      </c>
      <c r="E429" t="s">
        <v>121</v>
      </c>
      <c r="F429" t="s">
        <v>122</v>
      </c>
      <c r="G429" s="3" t="s">
        <v>176</v>
      </c>
      <c r="H429" s="2">
        <v>46235</v>
      </c>
      <c r="I429" s="36"/>
      <c r="J429" s="36">
        <v>0</v>
      </c>
      <c r="K429" s="33">
        <f>SUMIFS($J$2:J429,$C$2:C429,C429)</f>
        <v>0</v>
      </c>
    </row>
    <row r="430" spans="1:11" ht="50.1" hidden="1" customHeight="1">
      <c r="A430" s="17">
        <f t="shared" si="6"/>
        <v>36</v>
      </c>
      <c r="B430" s="14" t="s">
        <v>10</v>
      </c>
      <c r="C430" s="1" t="s">
        <v>119</v>
      </c>
      <c r="D430" s="1" t="s">
        <v>120</v>
      </c>
      <c r="E430" t="s">
        <v>121</v>
      </c>
      <c r="F430" t="s">
        <v>122</v>
      </c>
      <c r="G430" s="3" t="s">
        <v>176</v>
      </c>
      <c r="H430" s="2">
        <v>46266</v>
      </c>
      <c r="I430" s="36"/>
      <c r="J430" s="36">
        <v>0</v>
      </c>
      <c r="K430" s="33">
        <f>SUMIFS($J$2:J430,$C$2:C430,C430)</f>
        <v>0</v>
      </c>
    </row>
    <row r="431" spans="1:11" ht="50.1" hidden="1" customHeight="1">
      <c r="A431" s="17">
        <f t="shared" si="6"/>
        <v>36</v>
      </c>
      <c r="B431" s="14" t="s">
        <v>10</v>
      </c>
      <c r="C431" s="1" t="s">
        <v>119</v>
      </c>
      <c r="D431" s="1" t="s">
        <v>120</v>
      </c>
      <c r="E431" t="s">
        <v>121</v>
      </c>
      <c r="F431" t="s">
        <v>122</v>
      </c>
      <c r="G431" s="3" t="s">
        <v>176</v>
      </c>
      <c r="H431" s="2">
        <v>46296</v>
      </c>
      <c r="I431" s="36"/>
      <c r="J431" s="36">
        <v>0</v>
      </c>
      <c r="K431" s="33">
        <f>SUMIFS($J$2:J431,$C$2:C431,C431)</f>
        <v>0</v>
      </c>
    </row>
    <row r="432" spans="1:11" ht="50.1" hidden="1" customHeight="1">
      <c r="A432" s="17">
        <f t="shared" si="6"/>
        <v>36</v>
      </c>
      <c r="B432" s="14" t="s">
        <v>10</v>
      </c>
      <c r="C432" s="1" t="s">
        <v>119</v>
      </c>
      <c r="D432" s="1" t="s">
        <v>120</v>
      </c>
      <c r="E432" t="s">
        <v>121</v>
      </c>
      <c r="F432" t="s">
        <v>122</v>
      </c>
      <c r="G432" s="3" t="s">
        <v>176</v>
      </c>
      <c r="H432" s="2">
        <v>46327</v>
      </c>
      <c r="I432" s="36"/>
      <c r="J432" s="36">
        <v>0</v>
      </c>
      <c r="K432" s="33">
        <f>SUMIFS($J$2:J432,$C$2:C432,C432)</f>
        <v>0</v>
      </c>
    </row>
    <row r="433" spans="1:11" ht="50.1" hidden="1" customHeight="1">
      <c r="A433" s="17">
        <f t="shared" si="6"/>
        <v>36</v>
      </c>
      <c r="B433" s="14" t="s">
        <v>10</v>
      </c>
      <c r="C433" s="1" t="s">
        <v>119</v>
      </c>
      <c r="D433" s="1" t="s">
        <v>120</v>
      </c>
      <c r="E433" t="s">
        <v>121</v>
      </c>
      <c r="F433" t="s">
        <v>122</v>
      </c>
      <c r="G433" s="3" t="s">
        <v>176</v>
      </c>
      <c r="H433" s="2">
        <v>46357</v>
      </c>
      <c r="I433" s="36">
        <v>0.24</v>
      </c>
      <c r="J433" s="36">
        <v>0</v>
      </c>
      <c r="K433" s="33">
        <f>SUMIFS($J$2:J433,$C$2:C433,C433)</f>
        <v>0</v>
      </c>
    </row>
    <row r="434" spans="1:11" ht="50.1" hidden="1" customHeight="1">
      <c r="A434" s="17">
        <f t="shared" si="6"/>
        <v>37</v>
      </c>
      <c r="B434" s="14" t="s">
        <v>10</v>
      </c>
      <c r="C434" s="1" t="s">
        <v>123</v>
      </c>
      <c r="D434" s="1" t="s">
        <v>124</v>
      </c>
      <c r="E434" t="s">
        <v>125</v>
      </c>
      <c r="F434" t="s">
        <v>126</v>
      </c>
      <c r="G434" s="3" t="s">
        <v>176</v>
      </c>
      <c r="H434" s="2">
        <v>46023</v>
      </c>
      <c r="I434" s="36"/>
      <c r="J434" s="36">
        <v>0</v>
      </c>
      <c r="K434" s="33">
        <f>SUMIFS($J$2:J434,$C$2:C434,C434)</f>
        <v>0</v>
      </c>
    </row>
    <row r="435" spans="1:11" ht="50.1" hidden="1" customHeight="1">
      <c r="A435" s="17">
        <f t="shared" si="6"/>
        <v>37</v>
      </c>
      <c r="B435" s="14" t="s">
        <v>10</v>
      </c>
      <c r="C435" s="1" t="s">
        <v>123</v>
      </c>
      <c r="D435" s="1" t="s">
        <v>124</v>
      </c>
      <c r="E435" t="s">
        <v>125</v>
      </c>
      <c r="F435" t="s">
        <v>126</v>
      </c>
      <c r="G435" s="3" t="s">
        <v>176</v>
      </c>
      <c r="H435" s="2">
        <v>46054</v>
      </c>
      <c r="I435" s="36"/>
      <c r="J435" s="36">
        <v>0</v>
      </c>
      <c r="K435" s="33">
        <f>SUMIFS($J$2:J435,$C$2:C435,C435)</f>
        <v>0</v>
      </c>
    </row>
    <row r="436" spans="1:11" ht="50.1" hidden="1" customHeight="1">
      <c r="A436" s="17">
        <f t="shared" si="6"/>
        <v>37</v>
      </c>
      <c r="B436" s="14" t="s">
        <v>10</v>
      </c>
      <c r="C436" s="1" t="s">
        <v>123</v>
      </c>
      <c r="D436" s="1" t="s">
        <v>124</v>
      </c>
      <c r="E436" t="s">
        <v>125</v>
      </c>
      <c r="F436" t="s">
        <v>126</v>
      </c>
      <c r="G436" s="3" t="s">
        <v>176</v>
      </c>
      <c r="H436" s="2">
        <v>46082</v>
      </c>
      <c r="I436" s="36"/>
      <c r="J436" s="36">
        <v>0</v>
      </c>
      <c r="K436" s="33">
        <f>SUMIFS($J$2:J436,$C$2:C436,C436)</f>
        <v>0</v>
      </c>
    </row>
    <row r="437" spans="1:11" ht="50.1" hidden="1" customHeight="1">
      <c r="A437" s="17">
        <f t="shared" si="6"/>
        <v>37</v>
      </c>
      <c r="B437" s="14" t="s">
        <v>10</v>
      </c>
      <c r="C437" s="1" t="s">
        <v>123</v>
      </c>
      <c r="D437" s="1" t="s">
        <v>124</v>
      </c>
      <c r="E437" t="s">
        <v>125</v>
      </c>
      <c r="F437" t="s">
        <v>126</v>
      </c>
      <c r="G437" s="3" t="s">
        <v>176</v>
      </c>
      <c r="H437" s="2">
        <v>46113</v>
      </c>
      <c r="I437" s="36"/>
      <c r="J437" s="36">
        <v>0</v>
      </c>
      <c r="K437" s="33">
        <f>SUMIFS($J$2:J437,$C$2:C437,C437)</f>
        <v>0</v>
      </c>
    </row>
    <row r="438" spans="1:11" ht="50.1" hidden="1" customHeight="1">
      <c r="A438" s="17">
        <f t="shared" si="6"/>
        <v>37</v>
      </c>
      <c r="B438" s="14" t="s">
        <v>10</v>
      </c>
      <c r="C438" s="1" t="s">
        <v>123</v>
      </c>
      <c r="D438" s="1" t="s">
        <v>124</v>
      </c>
      <c r="E438" t="s">
        <v>125</v>
      </c>
      <c r="F438" t="s">
        <v>126</v>
      </c>
      <c r="G438" s="3" t="s">
        <v>176</v>
      </c>
      <c r="H438" s="2">
        <v>46143</v>
      </c>
      <c r="I438" s="36">
        <v>0.5</v>
      </c>
      <c r="J438" s="36">
        <v>0</v>
      </c>
      <c r="K438" s="33">
        <f>SUMIFS($J$2:J438,$C$2:C438,C438)</f>
        <v>0</v>
      </c>
    </row>
    <row r="439" spans="1:11" ht="50.1" hidden="1" customHeight="1">
      <c r="A439" s="17">
        <f t="shared" si="6"/>
        <v>37</v>
      </c>
      <c r="B439" s="14" t="s">
        <v>10</v>
      </c>
      <c r="C439" s="1" t="s">
        <v>123</v>
      </c>
      <c r="D439" s="1" t="s">
        <v>124</v>
      </c>
      <c r="E439" t="s">
        <v>125</v>
      </c>
      <c r="F439" t="s">
        <v>126</v>
      </c>
      <c r="G439" s="3" t="s">
        <v>176</v>
      </c>
      <c r="H439" s="2">
        <v>46174</v>
      </c>
      <c r="I439" s="36"/>
      <c r="J439" s="36">
        <v>0</v>
      </c>
      <c r="K439" s="33">
        <f>SUMIFS($J$2:J439,$C$2:C439,C439)</f>
        <v>0</v>
      </c>
    </row>
    <row r="440" spans="1:11" ht="50.1" hidden="1" customHeight="1">
      <c r="A440" s="17">
        <f t="shared" si="6"/>
        <v>37</v>
      </c>
      <c r="B440" s="14" t="s">
        <v>10</v>
      </c>
      <c r="C440" s="1" t="s">
        <v>123</v>
      </c>
      <c r="D440" s="1" t="s">
        <v>124</v>
      </c>
      <c r="E440" t="s">
        <v>125</v>
      </c>
      <c r="F440" t="s">
        <v>126</v>
      </c>
      <c r="G440" s="3" t="s">
        <v>176</v>
      </c>
      <c r="H440" s="2">
        <v>46204</v>
      </c>
      <c r="I440" s="36"/>
      <c r="J440" s="36">
        <v>0</v>
      </c>
      <c r="K440" s="33">
        <f>SUMIFS($J$2:J440,$C$2:C440,C440)</f>
        <v>0</v>
      </c>
    </row>
    <row r="441" spans="1:11" ht="50.1" hidden="1" customHeight="1">
      <c r="A441" s="17">
        <f t="shared" si="6"/>
        <v>37</v>
      </c>
      <c r="B441" s="14" t="s">
        <v>10</v>
      </c>
      <c r="C441" s="1" t="s">
        <v>123</v>
      </c>
      <c r="D441" s="1" t="s">
        <v>124</v>
      </c>
      <c r="E441" t="s">
        <v>125</v>
      </c>
      <c r="F441" t="s">
        <v>126</v>
      </c>
      <c r="G441" s="3" t="s">
        <v>176</v>
      </c>
      <c r="H441" s="2">
        <v>46235</v>
      </c>
      <c r="I441" s="36"/>
      <c r="J441" s="36">
        <v>0</v>
      </c>
      <c r="K441" s="33">
        <f>SUMIFS($J$2:J441,$C$2:C441,C441)</f>
        <v>0</v>
      </c>
    </row>
    <row r="442" spans="1:11" ht="50.1" hidden="1" customHeight="1">
      <c r="A442" s="17">
        <f t="shared" si="6"/>
        <v>37</v>
      </c>
      <c r="B442" s="14" t="s">
        <v>10</v>
      </c>
      <c r="C442" s="1" t="s">
        <v>123</v>
      </c>
      <c r="D442" s="1" t="s">
        <v>124</v>
      </c>
      <c r="E442" t="s">
        <v>125</v>
      </c>
      <c r="F442" t="s">
        <v>126</v>
      </c>
      <c r="G442" s="3" t="s">
        <v>176</v>
      </c>
      <c r="H442" s="2">
        <v>46266</v>
      </c>
      <c r="I442" s="36">
        <v>0.5</v>
      </c>
      <c r="J442" s="36">
        <v>0</v>
      </c>
      <c r="K442" s="33">
        <f>SUMIFS($J$2:J442,$C$2:C442,C442)</f>
        <v>0</v>
      </c>
    </row>
    <row r="443" spans="1:11" ht="50.1" hidden="1" customHeight="1">
      <c r="A443" s="17">
        <f t="shared" si="6"/>
        <v>37</v>
      </c>
      <c r="B443" s="14" t="s">
        <v>10</v>
      </c>
      <c r="C443" s="1" t="s">
        <v>123</v>
      </c>
      <c r="D443" s="1" t="s">
        <v>124</v>
      </c>
      <c r="E443" t="s">
        <v>125</v>
      </c>
      <c r="F443" t="s">
        <v>126</v>
      </c>
      <c r="G443" s="3" t="s">
        <v>176</v>
      </c>
      <c r="H443" s="2">
        <v>46296</v>
      </c>
      <c r="I443" s="36"/>
      <c r="J443" s="36">
        <v>0</v>
      </c>
      <c r="K443" s="33">
        <f>SUMIFS($J$2:J443,$C$2:C443,C443)</f>
        <v>0</v>
      </c>
    </row>
    <row r="444" spans="1:11" ht="50.1" hidden="1" customHeight="1">
      <c r="A444" s="17">
        <f t="shared" si="6"/>
        <v>37</v>
      </c>
      <c r="B444" s="14" t="s">
        <v>10</v>
      </c>
      <c r="C444" s="1" t="s">
        <v>123</v>
      </c>
      <c r="D444" s="1" t="s">
        <v>124</v>
      </c>
      <c r="E444" t="s">
        <v>125</v>
      </c>
      <c r="F444" t="s">
        <v>126</v>
      </c>
      <c r="G444" s="3" t="s">
        <v>176</v>
      </c>
      <c r="H444" s="2">
        <v>46327</v>
      </c>
      <c r="I444" s="36"/>
      <c r="J444" s="36">
        <v>0</v>
      </c>
      <c r="K444" s="33">
        <f>SUMIFS($J$2:J444,$C$2:C444,C444)</f>
        <v>0</v>
      </c>
    </row>
    <row r="445" spans="1:11" ht="50.1" hidden="1" customHeight="1">
      <c r="A445" s="17">
        <f t="shared" si="6"/>
        <v>37</v>
      </c>
      <c r="B445" s="14" t="s">
        <v>10</v>
      </c>
      <c r="C445" s="1" t="s">
        <v>123</v>
      </c>
      <c r="D445" s="1" t="s">
        <v>124</v>
      </c>
      <c r="E445" t="s">
        <v>125</v>
      </c>
      <c r="F445" t="s">
        <v>126</v>
      </c>
      <c r="G445" s="3" t="s">
        <v>176</v>
      </c>
      <c r="H445" s="2">
        <v>46357</v>
      </c>
      <c r="I445" s="36"/>
      <c r="J445" s="36">
        <v>0</v>
      </c>
      <c r="K445" s="33">
        <f>SUMIFS($J$2:J445,$C$2:C445,C445)</f>
        <v>0</v>
      </c>
    </row>
    <row r="446" spans="1:11" ht="50.1" hidden="1" customHeight="1">
      <c r="A446" s="17">
        <f t="shared" si="6"/>
        <v>38</v>
      </c>
      <c r="B446" s="14" t="s">
        <v>10</v>
      </c>
      <c r="C446" s="1" t="s">
        <v>127</v>
      </c>
      <c r="D446" s="1" t="s">
        <v>128</v>
      </c>
      <c r="E446" t="s">
        <v>129</v>
      </c>
      <c r="F446" t="s">
        <v>126</v>
      </c>
      <c r="G446" s="3" t="s">
        <v>176</v>
      </c>
      <c r="H446" s="2">
        <v>46023</v>
      </c>
      <c r="I446" s="36"/>
      <c r="J446" s="36">
        <v>0</v>
      </c>
      <c r="K446" s="33">
        <f>SUMIFS($J$2:J446,$C$2:C446,C446)</f>
        <v>0</v>
      </c>
    </row>
    <row r="447" spans="1:11" ht="50.1" hidden="1" customHeight="1">
      <c r="A447" s="17">
        <f t="shared" si="6"/>
        <v>38</v>
      </c>
      <c r="B447" s="14" t="s">
        <v>10</v>
      </c>
      <c r="C447" s="1" t="s">
        <v>127</v>
      </c>
      <c r="D447" s="1" t="s">
        <v>128</v>
      </c>
      <c r="E447" t="s">
        <v>129</v>
      </c>
      <c r="F447" t="s">
        <v>126</v>
      </c>
      <c r="G447" s="3" t="s">
        <v>176</v>
      </c>
      <c r="H447" s="2">
        <v>46054</v>
      </c>
      <c r="I447" s="36"/>
      <c r="J447" s="36">
        <v>0</v>
      </c>
      <c r="K447" s="33">
        <f>SUMIFS($J$2:J447,$C$2:C447,C447)</f>
        <v>0</v>
      </c>
    </row>
    <row r="448" spans="1:11" ht="50.1" hidden="1" customHeight="1">
      <c r="A448" s="17">
        <f t="shared" si="6"/>
        <v>38</v>
      </c>
      <c r="B448" s="14" t="s">
        <v>10</v>
      </c>
      <c r="C448" s="1" t="s">
        <v>127</v>
      </c>
      <c r="D448" s="1" t="s">
        <v>128</v>
      </c>
      <c r="E448" t="s">
        <v>129</v>
      </c>
      <c r="F448" t="s">
        <v>126</v>
      </c>
      <c r="G448" s="3" t="s">
        <v>176</v>
      </c>
      <c r="H448" s="2">
        <v>46082</v>
      </c>
      <c r="I448" s="36"/>
      <c r="J448" s="36">
        <v>0</v>
      </c>
      <c r="K448" s="33">
        <f>SUMIFS($J$2:J448,$C$2:C448,C448)</f>
        <v>0</v>
      </c>
    </row>
    <row r="449" spans="1:11" ht="50.1" hidden="1" customHeight="1">
      <c r="A449" s="17">
        <f t="shared" si="6"/>
        <v>38</v>
      </c>
      <c r="B449" s="14" t="s">
        <v>10</v>
      </c>
      <c r="C449" s="1" t="s">
        <v>127</v>
      </c>
      <c r="D449" s="1" t="s">
        <v>128</v>
      </c>
      <c r="E449" t="s">
        <v>129</v>
      </c>
      <c r="F449" t="s">
        <v>126</v>
      </c>
      <c r="G449" s="3" t="s">
        <v>176</v>
      </c>
      <c r="H449" s="2">
        <v>46113</v>
      </c>
      <c r="I449" s="36"/>
      <c r="J449" s="36">
        <v>0</v>
      </c>
      <c r="K449" s="33">
        <f>SUMIFS($J$2:J449,$C$2:C449,C449)</f>
        <v>0</v>
      </c>
    </row>
    <row r="450" spans="1:11" ht="50.1" hidden="1" customHeight="1">
      <c r="A450" s="17">
        <f t="shared" si="6"/>
        <v>38</v>
      </c>
      <c r="B450" s="14" t="s">
        <v>10</v>
      </c>
      <c r="C450" s="1" t="s">
        <v>127</v>
      </c>
      <c r="D450" s="1" t="s">
        <v>128</v>
      </c>
      <c r="E450" t="s">
        <v>129</v>
      </c>
      <c r="F450" t="s">
        <v>126</v>
      </c>
      <c r="G450" s="3" t="s">
        <v>176</v>
      </c>
      <c r="H450" s="2">
        <v>46143</v>
      </c>
      <c r="I450" s="36">
        <v>0.8</v>
      </c>
      <c r="J450" s="36">
        <v>0</v>
      </c>
      <c r="K450" s="33">
        <f>SUMIFS($J$2:J450,$C$2:C450,C450)</f>
        <v>0</v>
      </c>
    </row>
    <row r="451" spans="1:11" ht="50.1" hidden="1" customHeight="1">
      <c r="A451" s="17">
        <f t="shared" ref="A451:A514" si="7">INT((ROW(A451)-2)/12)+1</f>
        <v>38</v>
      </c>
      <c r="B451" s="14" t="s">
        <v>10</v>
      </c>
      <c r="C451" s="1" t="s">
        <v>127</v>
      </c>
      <c r="D451" s="1" t="s">
        <v>128</v>
      </c>
      <c r="E451" t="s">
        <v>129</v>
      </c>
      <c r="F451" t="s">
        <v>126</v>
      </c>
      <c r="G451" s="3" t="s">
        <v>176</v>
      </c>
      <c r="H451" s="2">
        <v>46174</v>
      </c>
      <c r="I451" s="36"/>
      <c r="J451" s="36">
        <v>0</v>
      </c>
      <c r="K451" s="33">
        <f>SUMIFS($J$2:J451,$C$2:C451,C451)</f>
        <v>0</v>
      </c>
    </row>
    <row r="452" spans="1:11" ht="50.1" hidden="1" customHeight="1">
      <c r="A452" s="17">
        <f t="shared" si="7"/>
        <v>38</v>
      </c>
      <c r="B452" s="14" t="s">
        <v>10</v>
      </c>
      <c r="C452" s="1" t="s">
        <v>127</v>
      </c>
      <c r="D452" s="1" t="s">
        <v>128</v>
      </c>
      <c r="E452" t="s">
        <v>129</v>
      </c>
      <c r="F452" t="s">
        <v>126</v>
      </c>
      <c r="G452" s="3" t="s">
        <v>176</v>
      </c>
      <c r="H452" s="2">
        <v>46204</v>
      </c>
      <c r="I452" s="36">
        <v>0.2</v>
      </c>
      <c r="J452" s="36">
        <v>0</v>
      </c>
      <c r="K452" s="33">
        <f>SUMIFS($J$2:J452,$C$2:C452,C452)</f>
        <v>0</v>
      </c>
    </row>
    <row r="453" spans="1:11" ht="50.1" hidden="1" customHeight="1">
      <c r="A453" s="17">
        <f t="shared" si="7"/>
        <v>38</v>
      </c>
      <c r="B453" s="14" t="s">
        <v>10</v>
      </c>
      <c r="C453" s="1" t="s">
        <v>127</v>
      </c>
      <c r="D453" s="1" t="s">
        <v>128</v>
      </c>
      <c r="E453" t="s">
        <v>129</v>
      </c>
      <c r="F453" t="s">
        <v>126</v>
      </c>
      <c r="G453" s="3" t="s">
        <v>176</v>
      </c>
      <c r="H453" s="2">
        <v>46235</v>
      </c>
      <c r="I453" s="36"/>
      <c r="J453" s="36">
        <v>0</v>
      </c>
      <c r="K453" s="33">
        <f>SUMIFS($J$2:J453,$C$2:C453,C453)</f>
        <v>0</v>
      </c>
    </row>
    <row r="454" spans="1:11" ht="50.1" hidden="1" customHeight="1">
      <c r="A454" s="17">
        <f t="shared" si="7"/>
        <v>38</v>
      </c>
      <c r="B454" s="14" t="s">
        <v>10</v>
      </c>
      <c r="C454" s="1" t="s">
        <v>127</v>
      </c>
      <c r="D454" s="1" t="s">
        <v>128</v>
      </c>
      <c r="E454" t="s">
        <v>129</v>
      </c>
      <c r="F454" t="s">
        <v>126</v>
      </c>
      <c r="G454" s="3" t="s">
        <v>176</v>
      </c>
      <c r="H454" s="2">
        <v>46266</v>
      </c>
      <c r="I454" s="36"/>
      <c r="J454" s="36">
        <v>0</v>
      </c>
      <c r="K454" s="33">
        <f>SUMIFS($J$2:J454,$C$2:C454,C454)</f>
        <v>0</v>
      </c>
    </row>
    <row r="455" spans="1:11" ht="50.1" hidden="1" customHeight="1">
      <c r="A455" s="17">
        <f t="shared" si="7"/>
        <v>38</v>
      </c>
      <c r="B455" s="14" t="s">
        <v>10</v>
      </c>
      <c r="C455" s="1" t="s">
        <v>127</v>
      </c>
      <c r="D455" s="1" t="s">
        <v>128</v>
      </c>
      <c r="E455" t="s">
        <v>129</v>
      </c>
      <c r="F455" t="s">
        <v>126</v>
      </c>
      <c r="G455" s="3" t="s">
        <v>176</v>
      </c>
      <c r="H455" s="2">
        <v>46296</v>
      </c>
      <c r="I455" s="36"/>
      <c r="J455" s="36">
        <v>0</v>
      </c>
      <c r="K455" s="33">
        <f>SUMIFS($J$2:J455,$C$2:C455,C455)</f>
        <v>0</v>
      </c>
    </row>
    <row r="456" spans="1:11" ht="50.1" hidden="1" customHeight="1">
      <c r="A456" s="17">
        <f t="shared" si="7"/>
        <v>38</v>
      </c>
      <c r="B456" s="14" t="s">
        <v>10</v>
      </c>
      <c r="C456" s="1" t="s">
        <v>127</v>
      </c>
      <c r="D456" s="1" t="s">
        <v>128</v>
      </c>
      <c r="E456" t="s">
        <v>129</v>
      </c>
      <c r="F456" t="s">
        <v>126</v>
      </c>
      <c r="G456" s="3" t="s">
        <v>176</v>
      </c>
      <c r="H456" s="2">
        <v>46327</v>
      </c>
      <c r="I456" s="36"/>
      <c r="J456" s="36">
        <v>0</v>
      </c>
      <c r="K456" s="33">
        <f>SUMIFS($J$2:J456,$C$2:C456,C456)</f>
        <v>0</v>
      </c>
    </row>
    <row r="457" spans="1:11" ht="50.1" hidden="1" customHeight="1">
      <c r="A457" s="17">
        <f t="shared" si="7"/>
        <v>38</v>
      </c>
      <c r="B457" s="14" t="s">
        <v>10</v>
      </c>
      <c r="C457" s="1" t="s">
        <v>127</v>
      </c>
      <c r="D457" s="1" t="s">
        <v>128</v>
      </c>
      <c r="E457" t="s">
        <v>129</v>
      </c>
      <c r="F457" t="s">
        <v>126</v>
      </c>
      <c r="G457" s="3" t="s">
        <v>176</v>
      </c>
      <c r="H457" s="2">
        <v>46357</v>
      </c>
      <c r="I457" s="36"/>
      <c r="J457" s="36">
        <v>0</v>
      </c>
      <c r="K457" s="33">
        <f>SUMIFS($J$2:J457,$C$2:C457,C457)</f>
        <v>0</v>
      </c>
    </row>
    <row r="458" spans="1:11" ht="50.1" customHeight="1">
      <c r="A458" s="17">
        <f t="shared" si="7"/>
        <v>39</v>
      </c>
      <c r="B458" s="14" t="s">
        <v>11</v>
      </c>
      <c r="C458" s="1" t="s">
        <v>130</v>
      </c>
      <c r="D458" s="1" t="s">
        <v>131</v>
      </c>
      <c r="F458" t="s">
        <v>132</v>
      </c>
      <c r="G458" s="3" t="s">
        <v>176</v>
      </c>
      <c r="H458" s="2">
        <v>46023</v>
      </c>
      <c r="I458" s="36">
        <v>0.8</v>
      </c>
      <c r="J458" s="36">
        <v>0</v>
      </c>
      <c r="K458" s="33">
        <f>SUMIFS($J$2:J458,$C$2:C458,C458)</f>
        <v>0</v>
      </c>
    </row>
    <row r="459" spans="1:11" ht="50.1" customHeight="1">
      <c r="A459" s="17">
        <f t="shared" si="7"/>
        <v>39</v>
      </c>
      <c r="B459" s="14" t="s">
        <v>11</v>
      </c>
      <c r="C459" s="1" t="s">
        <v>130</v>
      </c>
      <c r="D459" s="1" t="s">
        <v>131</v>
      </c>
      <c r="F459" t="s">
        <v>132</v>
      </c>
      <c r="G459" s="3" t="s">
        <v>176</v>
      </c>
      <c r="H459" s="2">
        <v>46054</v>
      </c>
      <c r="I459" s="36">
        <v>0.8</v>
      </c>
      <c r="J459" s="36">
        <v>0</v>
      </c>
      <c r="K459" s="33">
        <f>SUMIFS($J$2:J459,$C$2:C459,C459)</f>
        <v>0</v>
      </c>
    </row>
    <row r="460" spans="1:11" ht="50.1" customHeight="1">
      <c r="A460" s="17">
        <f t="shared" si="7"/>
        <v>39</v>
      </c>
      <c r="B460" s="14" t="s">
        <v>11</v>
      </c>
      <c r="C460" s="1" t="s">
        <v>130</v>
      </c>
      <c r="D460" s="1" t="s">
        <v>131</v>
      </c>
      <c r="F460" t="s">
        <v>132</v>
      </c>
      <c r="G460" s="3" t="s">
        <v>176</v>
      </c>
      <c r="H460" s="2">
        <v>46082</v>
      </c>
      <c r="I460" s="36">
        <v>0.8</v>
      </c>
      <c r="J460" s="36">
        <v>0</v>
      </c>
      <c r="K460" s="33">
        <f>SUMIFS($J$2:J460,$C$2:C460,C460)</f>
        <v>0</v>
      </c>
    </row>
    <row r="461" spans="1:11" ht="50.1" customHeight="1">
      <c r="A461" s="17">
        <f t="shared" si="7"/>
        <v>39</v>
      </c>
      <c r="B461" s="14" t="s">
        <v>11</v>
      </c>
      <c r="C461" s="1" t="s">
        <v>130</v>
      </c>
      <c r="D461" s="1" t="s">
        <v>131</v>
      </c>
      <c r="F461" t="s">
        <v>132</v>
      </c>
      <c r="G461" s="3" t="s">
        <v>176</v>
      </c>
      <c r="H461" s="2">
        <v>46113</v>
      </c>
      <c r="I461" s="36">
        <v>0.8</v>
      </c>
      <c r="J461" s="36">
        <v>0</v>
      </c>
      <c r="K461" s="33">
        <f>SUMIFS($J$2:J461,$C$2:C461,C461)</f>
        <v>0</v>
      </c>
    </row>
    <row r="462" spans="1:11" ht="50.1" customHeight="1">
      <c r="A462" s="17">
        <f t="shared" si="7"/>
        <v>39</v>
      </c>
      <c r="B462" s="14" t="s">
        <v>11</v>
      </c>
      <c r="C462" s="1" t="s">
        <v>130</v>
      </c>
      <c r="D462" s="1" t="s">
        <v>131</v>
      </c>
      <c r="F462" t="s">
        <v>132</v>
      </c>
      <c r="G462" s="3" t="s">
        <v>176</v>
      </c>
      <c r="H462" s="2">
        <v>46143</v>
      </c>
      <c r="I462" s="36">
        <v>0.8</v>
      </c>
      <c r="J462" s="36">
        <v>0</v>
      </c>
      <c r="K462" s="33">
        <f>SUMIFS($J$2:J462,$C$2:C462,C462)</f>
        <v>0</v>
      </c>
    </row>
    <row r="463" spans="1:11" ht="50.1" customHeight="1">
      <c r="A463" s="17">
        <f t="shared" si="7"/>
        <v>39</v>
      </c>
      <c r="B463" s="14" t="s">
        <v>11</v>
      </c>
      <c r="C463" s="1" t="s">
        <v>130</v>
      </c>
      <c r="D463" s="1" t="s">
        <v>131</v>
      </c>
      <c r="F463" t="s">
        <v>132</v>
      </c>
      <c r="G463" s="3" t="s">
        <v>176</v>
      </c>
      <c r="H463" s="2">
        <v>46174</v>
      </c>
      <c r="I463" s="36">
        <v>0.8</v>
      </c>
      <c r="J463" s="36">
        <v>0</v>
      </c>
      <c r="K463" s="33">
        <f>SUMIFS($J$2:J463,$C$2:C463,C463)</f>
        <v>0</v>
      </c>
    </row>
    <row r="464" spans="1:11" ht="50.1" customHeight="1">
      <c r="A464" s="17">
        <f t="shared" si="7"/>
        <v>39</v>
      </c>
      <c r="B464" s="14" t="s">
        <v>11</v>
      </c>
      <c r="C464" s="1" t="s">
        <v>130</v>
      </c>
      <c r="D464" s="1" t="s">
        <v>131</v>
      </c>
      <c r="F464" t="s">
        <v>132</v>
      </c>
      <c r="G464" s="3" t="s">
        <v>176</v>
      </c>
      <c r="H464" s="2">
        <v>46204</v>
      </c>
      <c r="I464" s="36">
        <v>0.8</v>
      </c>
      <c r="J464" s="36">
        <v>0</v>
      </c>
      <c r="K464" s="33">
        <f>SUMIFS($J$2:J464,$C$2:C464,C464)</f>
        <v>0</v>
      </c>
    </row>
    <row r="465" spans="1:11" ht="50.1" customHeight="1">
      <c r="A465" s="17">
        <f t="shared" si="7"/>
        <v>39</v>
      </c>
      <c r="B465" s="14" t="s">
        <v>11</v>
      </c>
      <c r="C465" s="1" t="s">
        <v>130</v>
      </c>
      <c r="D465" s="1" t="s">
        <v>131</v>
      </c>
      <c r="F465" t="s">
        <v>132</v>
      </c>
      <c r="G465" s="3" t="s">
        <v>176</v>
      </c>
      <c r="H465" s="2">
        <v>46235</v>
      </c>
      <c r="I465" s="36">
        <v>0.8</v>
      </c>
      <c r="J465" s="36">
        <v>0</v>
      </c>
      <c r="K465" s="33">
        <f>SUMIFS($J$2:J465,$C$2:C465,C465)</f>
        <v>0</v>
      </c>
    </row>
    <row r="466" spans="1:11" ht="50.1" customHeight="1">
      <c r="A466" s="17">
        <f t="shared" si="7"/>
        <v>39</v>
      </c>
      <c r="B466" s="14" t="s">
        <v>11</v>
      </c>
      <c r="C466" s="1" t="s">
        <v>130</v>
      </c>
      <c r="D466" s="1" t="s">
        <v>131</v>
      </c>
      <c r="F466" t="s">
        <v>132</v>
      </c>
      <c r="G466" s="3" t="s">
        <v>176</v>
      </c>
      <c r="H466" s="2">
        <v>46266</v>
      </c>
      <c r="I466" s="36">
        <v>0.8</v>
      </c>
      <c r="J466" s="36">
        <v>0</v>
      </c>
      <c r="K466" s="33">
        <f>SUMIFS($J$2:J466,$C$2:C466,C466)</f>
        <v>0</v>
      </c>
    </row>
    <row r="467" spans="1:11" ht="50.1" customHeight="1">
      <c r="A467" s="17">
        <f t="shared" si="7"/>
        <v>39</v>
      </c>
      <c r="B467" s="14" t="s">
        <v>11</v>
      </c>
      <c r="C467" s="1" t="s">
        <v>130</v>
      </c>
      <c r="D467" s="1" t="s">
        <v>131</v>
      </c>
      <c r="F467" t="s">
        <v>132</v>
      </c>
      <c r="G467" s="3" t="s">
        <v>176</v>
      </c>
      <c r="H467" s="2">
        <v>46296</v>
      </c>
      <c r="I467" s="36">
        <v>0.8</v>
      </c>
      <c r="J467" s="36">
        <v>0</v>
      </c>
      <c r="K467" s="33">
        <f>SUMIFS($J$2:J467,$C$2:C467,C467)</f>
        <v>0</v>
      </c>
    </row>
    <row r="468" spans="1:11" ht="50.1" customHeight="1">
      <c r="A468" s="17">
        <f t="shared" si="7"/>
        <v>39</v>
      </c>
      <c r="B468" s="14" t="s">
        <v>11</v>
      </c>
      <c r="C468" s="1" t="s">
        <v>130</v>
      </c>
      <c r="D468" s="1" t="s">
        <v>131</v>
      </c>
      <c r="F468" t="s">
        <v>132</v>
      </c>
      <c r="G468" s="3" t="s">
        <v>176</v>
      </c>
      <c r="H468" s="2">
        <v>46327</v>
      </c>
      <c r="I468" s="36">
        <v>0.8</v>
      </c>
      <c r="J468" s="36">
        <v>0</v>
      </c>
      <c r="K468" s="33">
        <f>SUMIFS($J$2:J468,$C$2:C468,C468)</f>
        <v>0</v>
      </c>
    </row>
    <row r="469" spans="1:11" ht="50.1" customHeight="1">
      <c r="A469" s="17">
        <f t="shared" si="7"/>
        <v>39</v>
      </c>
      <c r="B469" s="14" t="s">
        <v>11</v>
      </c>
      <c r="C469" s="1" t="s">
        <v>130</v>
      </c>
      <c r="D469" s="1" t="s">
        <v>131</v>
      </c>
      <c r="F469" t="s">
        <v>132</v>
      </c>
      <c r="G469" s="3" t="s">
        <v>176</v>
      </c>
      <c r="H469" s="2">
        <v>46357</v>
      </c>
      <c r="I469" s="36">
        <v>0.8</v>
      </c>
      <c r="J469" s="36">
        <v>0</v>
      </c>
      <c r="K469" s="33">
        <f>SUMIFS($J$2:J469,$C$2:C469,C469)</f>
        <v>0</v>
      </c>
    </row>
    <row r="470" spans="1:11" ht="50.1" hidden="1" customHeight="1">
      <c r="A470" s="17">
        <f t="shared" si="7"/>
        <v>40</v>
      </c>
      <c r="B470" s="14" t="s">
        <v>10</v>
      </c>
      <c r="C470" s="1" t="s">
        <v>133</v>
      </c>
      <c r="D470" s="1" t="s">
        <v>134</v>
      </c>
      <c r="E470" t="s">
        <v>135</v>
      </c>
      <c r="F470" t="s">
        <v>132</v>
      </c>
      <c r="G470" s="3" t="s">
        <v>176</v>
      </c>
      <c r="H470" s="2">
        <v>46023</v>
      </c>
      <c r="I470" s="36"/>
      <c r="J470" s="36">
        <v>0</v>
      </c>
      <c r="K470" s="33">
        <f>SUMIFS($J$2:J470,$C$2:C470,C470)</f>
        <v>0</v>
      </c>
    </row>
    <row r="471" spans="1:11" ht="50.1" hidden="1" customHeight="1">
      <c r="A471" s="17">
        <f t="shared" si="7"/>
        <v>40</v>
      </c>
      <c r="B471" s="14" t="s">
        <v>10</v>
      </c>
      <c r="C471" s="1" t="s">
        <v>133</v>
      </c>
      <c r="D471" s="1" t="s">
        <v>134</v>
      </c>
      <c r="E471" t="s">
        <v>135</v>
      </c>
      <c r="F471" t="s">
        <v>132</v>
      </c>
      <c r="G471" s="3" t="s">
        <v>176</v>
      </c>
      <c r="H471" s="2">
        <v>46054</v>
      </c>
      <c r="I471" s="36"/>
      <c r="J471" s="36">
        <v>0</v>
      </c>
      <c r="K471" s="33">
        <f>SUMIFS($J$2:J471,$C$2:C471,C471)</f>
        <v>0</v>
      </c>
    </row>
    <row r="472" spans="1:11" ht="50.1" hidden="1" customHeight="1">
      <c r="A472" s="17">
        <f t="shared" si="7"/>
        <v>40</v>
      </c>
      <c r="B472" s="14" t="s">
        <v>10</v>
      </c>
      <c r="C472" s="1" t="s">
        <v>133</v>
      </c>
      <c r="D472" s="1" t="s">
        <v>134</v>
      </c>
      <c r="E472" t="s">
        <v>135</v>
      </c>
      <c r="F472" t="s">
        <v>132</v>
      </c>
      <c r="G472" s="3" t="s">
        <v>176</v>
      </c>
      <c r="H472" s="2">
        <v>46082</v>
      </c>
      <c r="I472" s="36"/>
      <c r="J472" s="36">
        <v>0</v>
      </c>
      <c r="K472" s="33">
        <f>SUMIFS($J$2:J472,$C$2:C472,C472)</f>
        <v>0</v>
      </c>
    </row>
    <row r="473" spans="1:11" ht="50.1" hidden="1" customHeight="1">
      <c r="A473" s="17">
        <f t="shared" si="7"/>
        <v>40</v>
      </c>
      <c r="B473" s="14" t="s">
        <v>10</v>
      </c>
      <c r="C473" s="1" t="s">
        <v>133</v>
      </c>
      <c r="D473" s="1" t="s">
        <v>134</v>
      </c>
      <c r="E473" t="s">
        <v>135</v>
      </c>
      <c r="F473" t="s">
        <v>132</v>
      </c>
      <c r="G473" s="3" t="s">
        <v>176</v>
      </c>
      <c r="H473" s="2">
        <v>46113</v>
      </c>
      <c r="I473" s="36"/>
      <c r="J473" s="36">
        <v>0</v>
      </c>
      <c r="K473" s="33">
        <f>SUMIFS($J$2:J473,$C$2:C473,C473)</f>
        <v>0</v>
      </c>
    </row>
    <row r="474" spans="1:11" ht="50.1" hidden="1" customHeight="1">
      <c r="A474" s="17">
        <f t="shared" si="7"/>
        <v>40</v>
      </c>
      <c r="B474" s="14" t="s">
        <v>10</v>
      </c>
      <c r="C474" s="1" t="s">
        <v>133</v>
      </c>
      <c r="D474" s="1" t="s">
        <v>134</v>
      </c>
      <c r="E474" t="s">
        <v>135</v>
      </c>
      <c r="F474" t="s">
        <v>132</v>
      </c>
      <c r="G474" s="3" t="s">
        <v>176</v>
      </c>
      <c r="H474" s="2">
        <v>46143</v>
      </c>
      <c r="I474" s="36"/>
      <c r="J474" s="36">
        <v>0</v>
      </c>
      <c r="K474" s="33">
        <f>SUMIFS($J$2:J474,$C$2:C474,C474)</f>
        <v>0</v>
      </c>
    </row>
    <row r="475" spans="1:11" ht="50.1" hidden="1" customHeight="1">
      <c r="A475" s="17">
        <f t="shared" si="7"/>
        <v>40</v>
      </c>
      <c r="B475" s="14" t="s">
        <v>10</v>
      </c>
      <c r="C475" s="1" t="s">
        <v>133</v>
      </c>
      <c r="D475" s="1" t="s">
        <v>134</v>
      </c>
      <c r="E475" t="s">
        <v>135</v>
      </c>
      <c r="F475" t="s">
        <v>132</v>
      </c>
      <c r="G475" s="3" t="s">
        <v>176</v>
      </c>
      <c r="H475" s="2">
        <v>46174</v>
      </c>
      <c r="I475" s="36"/>
      <c r="J475" s="36">
        <v>0</v>
      </c>
      <c r="K475" s="33">
        <f>SUMIFS($J$2:J475,$C$2:C475,C475)</f>
        <v>0</v>
      </c>
    </row>
    <row r="476" spans="1:11" ht="50.1" hidden="1" customHeight="1">
      <c r="A476" s="17">
        <f t="shared" si="7"/>
        <v>40</v>
      </c>
      <c r="B476" s="14" t="s">
        <v>10</v>
      </c>
      <c r="C476" s="1" t="s">
        <v>133</v>
      </c>
      <c r="D476" s="1" t="s">
        <v>134</v>
      </c>
      <c r="E476" t="s">
        <v>135</v>
      </c>
      <c r="F476" t="s">
        <v>132</v>
      </c>
      <c r="G476" s="3" t="s">
        <v>176</v>
      </c>
      <c r="H476" s="2">
        <v>46204</v>
      </c>
      <c r="I476" s="36"/>
      <c r="J476" s="36">
        <v>0</v>
      </c>
      <c r="K476" s="33">
        <f>SUMIFS($J$2:J476,$C$2:C476,C476)</f>
        <v>0</v>
      </c>
    </row>
    <row r="477" spans="1:11" ht="50.1" hidden="1" customHeight="1">
      <c r="A477" s="17">
        <f t="shared" si="7"/>
        <v>40</v>
      </c>
      <c r="B477" s="14" t="s">
        <v>10</v>
      </c>
      <c r="C477" s="1" t="s">
        <v>133</v>
      </c>
      <c r="D477" s="1" t="s">
        <v>134</v>
      </c>
      <c r="E477" t="s">
        <v>135</v>
      </c>
      <c r="F477" t="s">
        <v>132</v>
      </c>
      <c r="G477" s="3" t="s">
        <v>176</v>
      </c>
      <c r="H477" s="2">
        <v>46235</v>
      </c>
      <c r="I477" s="36"/>
      <c r="J477" s="36">
        <v>0</v>
      </c>
      <c r="K477" s="33">
        <f>SUMIFS($J$2:J477,$C$2:C477,C477)</f>
        <v>0</v>
      </c>
    </row>
    <row r="478" spans="1:11" ht="50.1" hidden="1" customHeight="1">
      <c r="A478" s="17">
        <f t="shared" si="7"/>
        <v>40</v>
      </c>
      <c r="B478" s="14" t="s">
        <v>10</v>
      </c>
      <c r="C478" s="1" t="s">
        <v>133</v>
      </c>
      <c r="D478" s="1" t="s">
        <v>134</v>
      </c>
      <c r="E478" t="s">
        <v>135</v>
      </c>
      <c r="F478" t="s">
        <v>132</v>
      </c>
      <c r="G478" s="3" t="s">
        <v>176</v>
      </c>
      <c r="H478" s="2">
        <v>46266</v>
      </c>
      <c r="I478" s="36"/>
      <c r="J478" s="36">
        <v>0</v>
      </c>
      <c r="K478" s="33">
        <f>SUMIFS($J$2:J478,$C$2:C478,C478)</f>
        <v>0</v>
      </c>
    </row>
    <row r="479" spans="1:11" ht="50.1" hidden="1" customHeight="1">
      <c r="A479" s="17">
        <f t="shared" si="7"/>
        <v>40</v>
      </c>
      <c r="B479" s="14" t="s">
        <v>10</v>
      </c>
      <c r="C479" s="1" t="s">
        <v>133</v>
      </c>
      <c r="D479" s="1" t="s">
        <v>134</v>
      </c>
      <c r="E479" t="s">
        <v>135</v>
      </c>
      <c r="F479" t="s">
        <v>132</v>
      </c>
      <c r="G479" s="3" t="s">
        <v>176</v>
      </c>
      <c r="H479" s="2">
        <v>46296</v>
      </c>
      <c r="I479" s="36"/>
      <c r="J479" s="36">
        <v>0</v>
      </c>
      <c r="K479" s="33">
        <f>SUMIFS($J$2:J479,$C$2:C479,C479)</f>
        <v>0</v>
      </c>
    </row>
    <row r="480" spans="1:11" ht="50.1" hidden="1" customHeight="1">
      <c r="A480" s="17">
        <f t="shared" si="7"/>
        <v>40</v>
      </c>
      <c r="B480" s="14" t="s">
        <v>10</v>
      </c>
      <c r="C480" s="1" t="s">
        <v>133</v>
      </c>
      <c r="D480" s="1" t="s">
        <v>134</v>
      </c>
      <c r="E480" t="s">
        <v>135</v>
      </c>
      <c r="F480" t="s">
        <v>132</v>
      </c>
      <c r="G480" s="3" t="s">
        <v>176</v>
      </c>
      <c r="H480" s="2">
        <v>46327</v>
      </c>
      <c r="I480" s="36"/>
      <c r="J480" s="36">
        <v>0</v>
      </c>
      <c r="K480" s="33">
        <f>SUMIFS($J$2:J480,$C$2:C480,C480)</f>
        <v>0</v>
      </c>
    </row>
    <row r="481" spans="1:11" ht="50.1" hidden="1" customHeight="1">
      <c r="A481" s="17">
        <f t="shared" si="7"/>
        <v>40</v>
      </c>
      <c r="B481" s="14" t="s">
        <v>10</v>
      </c>
      <c r="C481" s="1" t="s">
        <v>133</v>
      </c>
      <c r="D481" s="1" t="s">
        <v>134</v>
      </c>
      <c r="E481" t="s">
        <v>135</v>
      </c>
      <c r="F481" t="s">
        <v>132</v>
      </c>
      <c r="G481" s="3" t="s">
        <v>176</v>
      </c>
      <c r="H481" s="2">
        <v>46357</v>
      </c>
      <c r="I481" s="36">
        <v>1</v>
      </c>
      <c r="J481" s="36">
        <v>0</v>
      </c>
      <c r="K481" s="33">
        <f>SUMIFS($J$2:J481,$C$2:C481,C481)</f>
        <v>0</v>
      </c>
    </row>
    <row r="482" spans="1:11" ht="50.1" hidden="1" customHeight="1">
      <c r="A482" s="17">
        <f t="shared" si="7"/>
        <v>41</v>
      </c>
      <c r="B482" s="14" t="s">
        <v>10</v>
      </c>
      <c r="C482" s="1" t="s">
        <v>136</v>
      </c>
      <c r="D482" s="1" t="s">
        <v>137</v>
      </c>
      <c r="E482" t="s">
        <v>138</v>
      </c>
      <c r="F482" t="s">
        <v>139</v>
      </c>
      <c r="G482" s="3" t="s">
        <v>176</v>
      </c>
      <c r="H482" s="2">
        <v>46023</v>
      </c>
      <c r="I482" s="36"/>
      <c r="J482" s="36">
        <v>0</v>
      </c>
      <c r="K482" s="33">
        <f>SUMIFS($J$2:J482,$C$2:C482,C482)</f>
        <v>0</v>
      </c>
    </row>
    <row r="483" spans="1:11" ht="50.1" hidden="1" customHeight="1">
      <c r="A483" s="17">
        <f t="shared" si="7"/>
        <v>41</v>
      </c>
      <c r="B483" s="14" t="s">
        <v>10</v>
      </c>
      <c r="C483" s="1" t="s">
        <v>136</v>
      </c>
      <c r="D483" s="1" t="s">
        <v>137</v>
      </c>
      <c r="E483" t="s">
        <v>138</v>
      </c>
      <c r="F483" t="s">
        <v>139</v>
      </c>
      <c r="G483" s="3" t="s">
        <v>176</v>
      </c>
      <c r="H483" s="2">
        <v>46054</v>
      </c>
      <c r="I483" s="36"/>
      <c r="J483" s="36">
        <v>0</v>
      </c>
      <c r="K483" s="33">
        <f>SUMIFS($J$2:J483,$C$2:C483,C483)</f>
        <v>0</v>
      </c>
    </row>
    <row r="484" spans="1:11" ht="50.1" hidden="1" customHeight="1">
      <c r="A484" s="17">
        <f t="shared" si="7"/>
        <v>41</v>
      </c>
      <c r="B484" s="14" t="s">
        <v>10</v>
      </c>
      <c r="C484" s="1" t="s">
        <v>136</v>
      </c>
      <c r="D484" s="1" t="s">
        <v>137</v>
      </c>
      <c r="E484" t="s">
        <v>138</v>
      </c>
      <c r="F484" t="s">
        <v>139</v>
      </c>
      <c r="G484" s="3" t="s">
        <v>176</v>
      </c>
      <c r="H484" s="2">
        <v>46082</v>
      </c>
      <c r="I484" s="36"/>
      <c r="J484" s="36">
        <v>0</v>
      </c>
      <c r="K484" s="33">
        <f>SUMIFS($J$2:J484,$C$2:C484,C484)</f>
        <v>0</v>
      </c>
    </row>
    <row r="485" spans="1:11" ht="50.1" hidden="1" customHeight="1">
      <c r="A485" s="17">
        <f t="shared" si="7"/>
        <v>41</v>
      </c>
      <c r="B485" s="14" t="s">
        <v>10</v>
      </c>
      <c r="C485" s="1" t="s">
        <v>136</v>
      </c>
      <c r="D485" s="1" t="s">
        <v>137</v>
      </c>
      <c r="E485" t="s">
        <v>138</v>
      </c>
      <c r="F485" t="s">
        <v>139</v>
      </c>
      <c r="G485" s="3" t="s">
        <v>176</v>
      </c>
      <c r="H485" s="2">
        <v>46113</v>
      </c>
      <c r="I485" s="36"/>
      <c r="J485" s="36">
        <v>0</v>
      </c>
      <c r="K485" s="33">
        <f>SUMIFS($J$2:J485,$C$2:C485,C485)</f>
        <v>0</v>
      </c>
    </row>
    <row r="486" spans="1:11" ht="50.1" hidden="1" customHeight="1">
      <c r="A486" s="17">
        <f t="shared" si="7"/>
        <v>41</v>
      </c>
      <c r="B486" s="14" t="s">
        <v>10</v>
      </c>
      <c r="C486" s="1" t="s">
        <v>136</v>
      </c>
      <c r="D486" s="1" t="s">
        <v>137</v>
      </c>
      <c r="E486" t="s">
        <v>138</v>
      </c>
      <c r="F486" t="s">
        <v>139</v>
      </c>
      <c r="G486" s="3" t="s">
        <v>176</v>
      </c>
      <c r="H486" s="2">
        <v>46143</v>
      </c>
      <c r="I486" s="36"/>
      <c r="J486" s="36">
        <v>0</v>
      </c>
      <c r="K486" s="33">
        <f>SUMIFS($J$2:J486,$C$2:C486,C486)</f>
        <v>0</v>
      </c>
    </row>
    <row r="487" spans="1:11" ht="50.1" hidden="1" customHeight="1">
      <c r="A487" s="17">
        <f t="shared" si="7"/>
        <v>41</v>
      </c>
      <c r="B487" s="14" t="s">
        <v>10</v>
      </c>
      <c r="C487" s="1" t="s">
        <v>136</v>
      </c>
      <c r="D487" s="1" t="s">
        <v>137</v>
      </c>
      <c r="E487" t="s">
        <v>138</v>
      </c>
      <c r="F487" t="s">
        <v>139</v>
      </c>
      <c r="G487" s="3" t="s">
        <v>176</v>
      </c>
      <c r="H487" s="2">
        <v>46174</v>
      </c>
      <c r="I487" s="36"/>
      <c r="J487" s="36">
        <v>0</v>
      </c>
      <c r="K487" s="33">
        <f>SUMIFS($J$2:J487,$C$2:C487,C487)</f>
        <v>0</v>
      </c>
    </row>
    <row r="488" spans="1:11" ht="50.1" hidden="1" customHeight="1">
      <c r="A488" s="17">
        <f t="shared" si="7"/>
        <v>41</v>
      </c>
      <c r="B488" s="14" t="s">
        <v>10</v>
      </c>
      <c r="C488" s="1" t="s">
        <v>136</v>
      </c>
      <c r="D488" s="1" t="s">
        <v>137</v>
      </c>
      <c r="E488" t="s">
        <v>138</v>
      </c>
      <c r="F488" t="s">
        <v>139</v>
      </c>
      <c r="G488" s="3" t="s">
        <v>176</v>
      </c>
      <c r="H488" s="2">
        <v>46204</v>
      </c>
      <c r="I488" s="36"/>
      <c r="J488" s="36">
        <v>0</v>
      </c>
      <c r="K488" s="33">
        <f>SUMIFS($J$2:J488,$C$2:C488,C488)</f>
        <v>0</v>
      </c>
    </row>
    <row r="489" spans="1:11" ht="50.1" hidden="1" customHeight="1">
      <c r="A489" s="17">
        <f t="shared" si="7"/>
        <v>41</v>
      </c>
      <c r="B489" s="14" t="s">
        <v>10</v>
      </c>
      <c r="C489" s="1" t="s">
        <v>136</v>
      </c>
      <c r="D489" s="1" t="s">
        <v>137</v>
      </c>
      <c r="E489" t="s">
        <v>138</v>
      </c>
      <c r="F489" t="s">
        <v>139</v>
      </c>
      <c r="G489" s="3" t="s">
        <v>176</v>
      </c>
      <c r="H489" s="2">
        <v>46235</v>
      </c>
      <c r="I489" s="36"/>
      <c r="J489" s="36">
        <v>0</v>
      </c>
      <c r="K489" s="33">
        <f>SUMIFS($J$2:J489,$C$2:C489,C489)</f>
        <v>0</v>
      </c>
    </row>
    <row r="490" spans="1:11" ht="50.1" hidden="1" customHeight="1">
      <c r="A490" s="17">
        <f t="shared" si="7"/>
        <v>41</v>
      </c>
      <c r="B490" s="14" t="s">
        <v>10</v>
      </c>
      <c r="C490" s="1" t="s">
        <v>136</v>
      </c>
      <c r="D490" s="1" t="s">
        <v>137</v>
      </c>
      <c r="E490" t="s">
        <v>138</v>
      </c>
      <c r="F490" t="s">
        <v>139</v>
      </c>
      <c r="G490" s="3" t="s">
        <v>176</v>
      </c>
      <c r="H490" s="2">
        <v>46266</v>
      </c>
      <c r="I490" s="36"/>
      <c r="J490" s="36">
        <v>0</v>
      </c>
      <c r="K490" s="33">
        <f>SUMIFS($J$2:J490,$C$2:C490,C490)</f>
        <v>0</v>
      </c>
    </row>
    <row r="491" spans="1:11" ht="50.1" hidden="1" customHeight="1">
      <c r="A491" s="17">
        <f t="shared" si="7"/>
        <v>41</v>
      </c>
      <c r="B491" s="14" t="s">
        <v>10</v>
      </c>
      <c r="C491" s="1" t="s">
        <v>136</v>
      </c>
      <c r="D491" s="1" t="s">
        <v>137</v>
      </c>
      <c r="E491" t="s">
        <v>138</v>
      </c>
      <c r="F491" t="s">
        <v>139</v>
      </c>
      <c r="G491" s="3" t="s">
        <v>176</v>
      </c>
      <c r="H491" s="2">
        <v>46296</v>
      </c>
      <c r="I491" s="36"/>
      <c r="J491" s="36">
        <v>0</v>
      </c>
      <c r="K491" s="33">
        <f>SUMIFS($J$2:J491,$C$2:C491,C491)</f>
        <v>0</v>
      </c>
    </row>
    <row r="492" spans="1:11" ht="50.1" hidden="1" customHeight="1">
      <c r="A492" s="17">
        <f t="shared" si="7"/>
        <v>41</v>
      </c>
      <c r="B492" s="14" t="s">
        <v>10</v>
      </c>
      <c r="C492" s="1" t="s">
        <v>136</v>
      </c>
      <c r="D492" s="1" t="s">
        <v>137</v>
      </c>
      <c r="E492" t="s">
        <v>138</v>
      </c>
      <c r="F492" t="s">
        <v>139</v>
      </c>
      <c r="G492" s="3" t="s">
        <v>176</v>
      </c>
      <c r="H492" s="2">
        <v>46327</v>
      </c>
      <c r="I492" s="36"/>
      <c r="J492" s="36">
        <v>0</v>
      </c>
      <c r="K492" s="33">
        <f>SUMIFS($J$2:J492,$C$2:C492,C492)</f>
        <v>0</v>
      </c>
    </row>
    <row r="493" spans="1:11" ht="50.1" hidden="1" customHeight="1">
      <c r="A493" s="17">
        <f t="shared" si="7"/>
        <v>41</v>
      </c>
      <c r="B493" s="14" t="s">
        <v>10</v>
      </c>
      <c r="C493" s="1" t="s">
        <v>136</v>
      </c>
      <c r="D493" s="1" t="s">
        <v>137</v>
      </c>
      <c r="E493" t="s">
        <v>138</v>
      </c>
      <c r="F493" t="s">
        <v>139</v>
      </c>
      <c r="G493" s="3" t="s">
        <v>176</v>
      </c>
      <c r="H493" s="2">
        <v>46357</v>
      </c>
      <c r="I493" s="36">
        <v>1</v>
      </c>
      <c r="J493" s="36">
        <v>0</v>
      </c>
      <c r="K493" s="33">
        <f>SUMIFS($J$2:J493,$C$2:C493,C493)</f>
        <v>0</v>
      </c>
    </row>
    <row r="494" spans="1:11" ht="45">
      <c r="A494" s="17">
        <f t="shared" si="7"/>
        <v>42</v>
      </c>
      <c r="B494" s="14" t="s">
        <v>12</v>
      </c>
      <c r="C494" s="1" t="s">
        <v>140</v>
      </c>
      <c r="D494" s="1" t="s">
        <v>141</v>
      </c>
      <c r="F494" t="s">
        <v>139</v>
      </c>
      <c r="G494" s="3" t="s">
        <v>176</v>
      </c>
      <c r="H494" s="2">
        <v>46023</v>
      </c>
      <c r="I494" s="36">
        <v>0.9</v>
      </c>
      <c r="J494" s="36">
        <v>0</v>
      </c>
      <c r="K494" s="33">
        <f>SUMIFS($J$2:J494,$C$2:C494,C494)</f>
        <v>0</v>
      </c>
    </row>
    <row r="495" spans="1:11" ht="45">
      <c r="A495" s="17">
        <f t="shared" si="7"/>
        <v>42</v>
      </c>
      <c r="B495" s="14" t="s">
        <v>12</v>
      </c>
      <c r="C495" s="1" t="s">
        <v>140</v>
      </c>
      <c r="D495" s="1" t="s">
        <v>141</v>
      </c>
      <c r="F495" t="s">
        <v>139</v>
      </c>
      <c r="G495" s="3" t="s">
        <v>176</v>
      </c>
      <c r="H495" s="2">
        <v>46054</v>
      </c>
      <c r="I495" s="36">
        <v>0.9</v>
      </c>
      <c r="J495" s="36">
        <v>0</v>
      </c>
      <c r="K495" s="33">
        <f>SUMIFS($J$2:J495,$C$2:C495,C495)</f>
        <v>0</v>
      </c>
    </row>
    <row r="496" spans="1:11" ht="45">
      <c r="A496" s="17">
        <f t="shared" si="7"/>
        <v>42</v>
      </c>
      <c r="B496" s="14" t="s">
        <v>12</v>
      </c>
      <c r="C496" s="1" t="s">
        <v>140</v>
      </c>
      <c r="D496" s="1" t="s">
        <v>141</v>
      </c>
      <c r="F496" t="s">
        <v>139</v>
      </c>
      <c r="G496" s="3" t="s">
        <v>176</v>
      </c>
      <c r="H496" s="2">
        <v>46082</v>
      </c>
      <c r="I496" s="36">
        <v>0.9</v>
      </c>
      <c r="J496" s="36">
        <v>0</v>
      </c>
      <c r="K496" s="33">
        <f>SUMIFS($J$2:J496,$C$2:C496,C496)</f>
        <v>0</v>
      </c>
    </row>
    <row r="497" spans="1:11" ht="45">
      <c r="A497" s="17">
        <f t="shared" si="7"/>
        <v>42</v>
      </c>
      <c r="B497" s="14" t="s">
        <v>12</v>
      </c>
      <c r="C497" s="1" t="s">
        <v>140</v>
      </c>
      <c r="D497" s="1" t="s">
        <v>141</v>
      </c>
      <c r="F497" t="s">
        <v>139</v>
      </c>
      <c r="G497" s="3" t="s">
        <v>176</v>
      </c>
      <c r="H497" s="2">
        <v>46113</v>
      </c>
      <c r="I497" s="36">
        <v>0.9</v>
      </c>
      <c r="J497" s="36">
        <v>0</v>
      </c>
      <c r="K497" s="33">
        <f>SUMIFS($J$2:J497,$C$2:C497,C497)</f>
        <v>0</v>
      </c>
    </row>
    <row r="498" spans="1:11" ht="45">
      <c r="A498" s="17">
        <f t="shared" si="7"/>
        <v>42</v>
      </c>
      <c r="B498" s="14" t="s">
        <v>12</v>
      </c>
      <c r="C498" s="1" t="s">
        <v>140</v>
      </c>
      <c r="D498" s="1" t="s">
        <v>141</v>
      </c>
      <c r="F498" t="s">
        <v>139</v>
      </c>
      <c r="G498" s="3" t="s">
        <v>176</v>
      </c>
      <c r="H498" s="2">
        <v>46143</v>
      </c>
      <c r="I498" s="36">
        <v>0.9</v>
      </c>
      <c r="J498" s="36">
        <v>0</v>
      </c>
      <c r="K498" s="33">
        <f>SUMIFS($J$2:J498,$C$2:C498,C498)</f>
        <v>0</v>
      </c>
    </row>
    <row r="499" spans="1:11" ht="45">
      <c r="A499" s="17">
        <f t="shared" si="7"/>
        <v>42</v>
      </c>
      <c r="B499" s="14" t="s">
        <v>12</v>
      </c>
      <c r="C499" s="1" t="s">
        <v>140</v>
      </c>
      <c r="D499" s="1" t="s">
        <v>141</v>
      </c>
      <c r="F499" t="s">
        <v>139</v>
      </c>
      <c r="G499" s="3" t="s">
        <v>176</v>
      </c>
      <c r="H499" s="2">
        <v>46174</v>
      </c>
      <c r="I499" s="36">
        <v>0.9</v>
      </c>
      <c r="J499" s="36">
        <v>0</v>
      </c>
      <c r="K499" s="33">
        <f>SUMIFS($J$2:J499,$C$2:C499,C499)</f>
        <v>0</v>
      </c>
    </row>
    <row r="500" spans="1:11" ht="45">
      <c r="A500" s="17">
        <f t="shared" si="7"/>
        <v>42</v>
      </c>
      <c r="B500" s="14" t="s">
        <v>12</v>
      </c>
      <c r="C500" s="1" t="s">
        <v>140</v>
      </c>
      <c r="D500" s="1" t="s">
        <v>141</v>
      </c>
      <c r="F500" t="s">
        <v>139</v>
      </c>
      <c r="G500" s="3" t="s">
        <v>176</v>
      </c>
      <c r="H500" s="2">
        <v>46204</v>
      </c>
      <c r="I500" s="36">
        <v>0.9</v>
      </c>
      <c r="J500" s="36">
        <v>0</v>
      </c>
      <c r="K500" s="33">
        <f>SUMIFS($J$2:J500,$C$2:C500,C500)</f>
        <v>0</v>
      </c>
    </row>
    <row r="501" spans="1:11" ht="45">
      <c r="A501" s="17">
        <f t="shared" si="7"/>
        <v>42</v>
      </c>
      <c r="B501" s="14" t="s">
        <v>12</v>
      </c>
      <c r="C501" s="1" t="s">
        <v>140</v>
      </c>
      <c r="D501" s="1" t="s">
        <v>141</v>
      </c>
      <c r="F501" t="s">
        <v>139</v>
      </c>
      <c r="G501" s="3" t="s">
        <v>176</v>
      </c>
      <c r="H501" s="2">
        <v>46235</v>
      </c>
      <c r="I501" s="36">
        <v>0.9</v>
      </c>
      <c r="J501" s="36">
        <v>0</v>
      </c>
      <c r="K501" s="33">
        <f>SUMIFS($J$2:J501,$C$2:C501,C501)</f>
        <v>0</v>
      </c>
    </row>
    <row r="502" spans="1:11" ht="45">
      <c r="A502" s="17">
        <f t="shared" si="7"/>
        <v>42</v>
      </c>
      <c r="B502" s="14" t="s">
        <v>12</v>
      </c>
      <c r="C502" s="1" t="s">
        <v>140</v>
      </c>
      <c r="D502" s="1" t="s">
        <v>141</v>
      </c>
      <c r="F502" t="s">
        <v>139</v>
      </c>
      <c r="G502" s="3" t="s">
        <v>176</v>
      </c>
      <c r="H502" s="2">
        <v>46266</v>
      </c>
      <c r="I502" s="36">
        <v>0.9</v>
      </c>
      <c r="J502" s="36">
        <v>0</v>
      </c>
      <c r="K502" s="33">
        <f>SUMIFS($J$2:J502,$C$2:C502,C502)</f>
        <v>0</v>
      </c>
    </row>
    <row r="503" spans="1:11" ht="45">
      <c r="A503" s="17">
        <f t="shared" si="7"/>
        <v>42</v>
      </c>
      <c r="B503" s="14" t="s">
        <v>12</v>
      </c>
      <c r="C503" s="1" t="s">
        <v>140</v>
      </c>
      <c r="D503" s="1" t="s">
        <v>141</v>
      </c>
      <c r="F503" t="s">
        <v>139</v>
      </c>
      <c r="G503" s="3" t="s">
        <v>176</v>
      </c>
      <c r="H503" s="2">
        <v>46296</v>
      </c>
      <c r="I503" s="36">
        <v>0.9</v>
      </c>
      <c r="J503" s="36">
        <v>0</v>
      </c>
      <c r="K503" s="33">
        <f>SUMIFS($J$2:J503,$C$2:C503,C503)</f>
        <v>0</v>
      </c>
    </row>
    <row r="504" spans="1:11" ht="45">
      <c r="A504" s="17">
        <f t="shared" si="7"/>
        <v>42</v>
      </c>
      <c r="B504" s="14" t="s">
        <v>12</v>
      </c>
      <c r="C504" s="1" t="s">
        <v>140</v>
      </c>
      <c r="D504" s="1" t="s">
        <v>141</v>
      </c>
      <c r="F504" t="s">
        <v>139</v>
      </c>
      <c r="G504" s="3" t="s">
        <v>176</v>
      </c>
      <c r="H504" s="2">
        <v>46327</v>
      </c>
      <c r="I504" s="36">
        <v>0.9</v>
      </c>
      <c r="J504" s="36">
        <v>0</v>
      </c>
      <c r="K504" s="33">
        <f>SUMIFS($J$2:J504,$C$2:C504,C504)</f>
        <v>0</v>
      </c>
    </row>
    <row r="505" spans="1:11" ht="45">
      <c r="A505" s="17">
        <f t="shared" si="7"/>
        <v>42</v>
      </c>
      <c r="B505" s="14" t="s">
        <v>12</v>
      </c>
      <c r="C505" s="1" t="s">
        <v>140</v>
      </c>
      <c r="D505" s="1" t="s">
        <v>141</v>
      </c>
      <c r="F505" t="s">
        <v>139</v>
      </c>
      <c r="G505" s="3" t="s">
        <v>176</v>
      </c>
      <c r="H505" s="2">
        <v>46357</v>
      </c>
      <c r="I505" s="36">
        <v>0.9</v>
      </c>
      <c r="J505" s="36">
        <v>0</v>
      </c>
      <c r="K505" s="33">
        <f>SUMIFS($J$2:J505,$C$2:C505,C505)</f>
        <v>0</v>
      </c>
    </row>
    <row r="506" spans="1:11" ht="45">
      <c r="A506" s="17">
        <f t="shared" si="7"/>
        <v>43</v>
      </c>
      <c r="B506" s="14" t="s">
        <v>11</v>
      </c>
      <c r="C506" s="1" t="s">
        <v>142</v>
      </c>
      <c r="D506" s="1" t="s">
        <v>143</v>
      </c>
      <c r="F506" t="s">
        <v>139</v>
      </c>
      <c r="G506" s="3" t="s">
        <v>176</v>
      </c>
      <c r="H506" s="2">
        <v>46023</v>
      </c>
      <c r="I506" s="36">
        <v>0.9</v>
      </c>
      <c r="J506" s="36">
        <v>0</v>
      </c>
      <c r="K506" s="33">
        <f>SUMIFS($J$2:J506,$C$2:C506,C506)</f>
        <v>0</v>
      </c>
    </row>
    <row r="507" spans="1:11" ht="45">
      <c r="A507" s="17">
        <f t="shared" si="7"/>
        <v>43</v>
      </c>
      <c r="B507" s="14" t="s">
        <v>11</v>
      </c>
      <c r="C507" s="1" t="s">
        <v>142</v>
      </c>
      <c r="D507" s="1" t="s">
        <v>143</v>
      </c>
      <c r="F507" t="s">
        <v>139</v>
      </c>
      <c r="G507" s="3" t="s">
        <v>176</v>
      </c>
      <c r="H507" s="2">
        <v>46054</v>
      </c>
      <c r="I507" s="36">
        <v>0.9</v>
      </c>
      <c r="J507" s="36">
        <v>0</v>
      </c>
      <c r="K507" s="33">
        <f>SUMIFS($J$2:J507,$C$2:C507,C507)</f>
        <v>0</v>
      </c>
    </row>
    <row r="508" spans="1:11" ht="45">
      <c r="A508" s="17">
        <f t="shared" si="7"/>
        <v>43</v>
      </c>
      <c r="B508" s="14" t="s">
        <v>11</v>
      </c>
      <c r="C508" s="1" t="s">
        <v>142</v>
      </c>
      <c r="D508" s="1" t="s">
        <v>143</v>
      </c>
      <c r="F508" t="s">
        <v>139</v>
      </c>
      <c r="G508" s="3" t="s">
        <v>176</v>
      </c>
      <c r="H508" s="2">
        <v>46082</v>
      </c>
      <c r="I508" s="36">
        <v>0.9</v>
      </c>
      <c r="J508" s="36">
        <v>0</v>
      </c>
      <c r="K508" s="33">
        <f>SUMIFS($J$2:J508,$C$2:C508,C508)</f>
        <v>0</v>
      </c>
    </row>
    <row r="509" spans="1:11" ht="45">
      <c r="A509" s="17">
        <f t="shared" si="7"/>
        <v>43</v>
      </c>
      <c r="B509" s="14" t="s">
        <v>11</v>
      </c>
      <c r="C509" s="1" t="s">
        <v>142</v>
      </c>
      <c r="D509" s="1" t="s">
        <v>143</v>
      </c>
      <c r="F509" t="s">
        <v>139</v>
      </c>
      <c r="G509" s="3" t="s">
        <v>176</v>
      </c>
      <c r="H509" s="2">
        <v>46113</v>
      </c>
      <c r="I509" s="36">
        <v>0.9</v>
      </c>
      <c r="J509" s="36">
        <v>0</v>
      </c>
      <c r="K509" s="33">
        <f>SUMIFS($J$2:J509,$C$2:C509,C509)</f>
        <v>0</v>
      </c>
    </row>
    <row r="510" spans="1:11" ht="45">
      <c r="A510" s="17">
        <f t="shared" si="7"/>
        <v>43</v>
      </c>
      <c r="B510" s="14" t="s">
        <v>11</v>
      </c>
      <c r="C510" s="1" t="s">
        <v>142</v>
      </c>
      <c r="D510" s="1" t="s">
        <v>143</v>
      </c>
      <c r="F510" t="s">
        <v>139</v>
      </c>
      <c r="G510" s="3" t="s">
        <v>176</v>
      </c>
      <c r="H510" s="2">
        <v>46143</v>
      </c>
      <c r="I510" s="36">
        <v>0.9</v>
      </c>
      <c r="J510" s="36">
        <v>0</v>
      </c>
      <c r="K510" s="33">
        <f>SUMIFS($J$2:J510,$C$2:C510,C510)</f>
        <v>0</v>
      </c>
    </row>
    <row r="511" spans="1:11" ht="45">
      <c r="A511" s="17">
        <f t="shared" si="7"/>
        <v>43</v>
      </c>
      <c r="B511" s="14" t="s">
        <v>11</v>
      </c>
      <c r="C511" s="1" t="s">
        <v>142</v>
      </c>
      <c r="D511" s="1" t="s">
        <v>143</v>
      </c>
      <c r="F511" t="s">
        <v>139</v>
      </c>
      <c r="G511" s="3" t="s">
        <v>176</v>
      </c>
      <c r="H511" s="2">
        <v>46174</v>
      </c>
      <c r="I511" s="36">
        <v>0.9</v>
      </c>
      <c r="J511" s="36">
        <v>0</v>
      </c>
      <c r="K511" s="33">
        <f>SUMIFS($J$2:J511,$C$2:C511,C511)</f>
        <v>0</v>
      </c>
    </row>
    <row r="512" spans="1:11" ht="45">
      <c r="A512" s="17">
        <f t="shared" si="7"/>
        <v>43</v>
      </c>
      <c r="B512" s="14" t="s">
        <v>11</v>
      </c>
      <c r="C512" s="1" t="s">
        <v>142</v>
      </c>
      <c r="D512" s="1" t="s">
        <v>143</v>
      </c>
      <c r="F512" t="s">
        <v>139</v>
      </c>
      <c r="G512" s="3" t="s">
        <v>176</v>
      </c>
      <c r="H512" s="2">
        <v>46204</v>
      </c>
      <c r="I512" s="36">
        <v>0.9</v>
      </c>
      <c r="J512" s="36">
        <v>0</v>
      </c>
      <c r="K512" s="33">
        <f>SUMIFS($J$2:J512,$C$2:C512,C512)</f>
        <v>0</v>
      </c>
    </row>
    <row r="513" spans="1:11" ht="45">
      <c r="A513" s="17">
        <f t="shared" si="7"/>
        <v>43</v>
      </c>
      <c r="B513" s="14" t="s">
        <v>11</v>
      </c>
      <c r="C513" s="1" t="s">
        <v>142</v>
      </c>
      <c r="D513" s="1" t="s">
        <v>143</v>
      </c>
      <c r="F513" t="s">
        <v>139</v>
      </c>
      <c r="G513" s="3" t="s">
        <v>176</v>
      </c>
      <c r="H513" s="2">
        <v>46235</v>
      </c>
      <c r="I513" s="36">
        <v>0.9</v>
      </c>
      <c r="J513" s="36">
        <v>0</v>
      </c>
      <c r="K513" s="33">
        <f>SUMIFS($J$2:J513,$C$2:C513,C513)</f>
        <v>0</v>
      </c>
    </row>
    <row r="514" spans="1:11" ht="45">
      <c r="A514" s="17">
        <f t="shared" si="7"/>
        <v>43</v>
      </c>
      <c r="B514" s="14" t="s">
        <v>11</v>
      </c>
      <c r="C514" s="1" t="s">
        <v>142</v>
      </c>
      <c r="D514" s="1" t="s">
        <v>143</v>
      </c>
      <c r="F514" t="s">
        <v>139</v>
      </c>
      <c r="G514" s="3" t="s">
        <v>176</v>
      </c>
      <c r="H514" s="2">
        <v>46266</v>
      </c>
      <c r="I514" s="36">
        <v>0.9</v>
      </c>
      <c r="J514" s="36">
        <v>0</v>
      </c>
      <c r="K514" s="33">
        <f>SUMIFS($J$2:J514,$C$2:C514,C514)</f>
        <v>0</v>
      </c>
    </row>
    <row r="515" spans="1:11" ht="45">
      <c r="A515" s="17">
        <f t="shared" ref="A515:A578" si="8">INT((ROW(A515)-2)/12)+1</f>
        <v>43</v>
      </c>
      <c r="B515" s="14" t="s">
        <v>11</v>
      </c>
      <c r="C515" s="1" t="s">
        <v>142</v>
      </c>
      <c r="D515" s="1" t="s">
        <v>143</v>
      </c>
      <c r="F515" t="s">
        <v>139</v>
      </c>
      <c r="G515" s="3" t="s">
        <v>176</v>
      </c>
      <c r="H515" s="2">
        <v>46296</v>
      </c>
      <c r="I515" s="36">
        <v>0.9</v>
      </c>
      <c r="J515" s="36">
        <v>0</v>
      </c>
      <c r="K515" s="33">
        <f>SUMIFS($J$2:J515,$C$2:C515,C515)</f>
        <v>0</v>
      </c>
    </row>
    <row r="516" spans="1:11" ht="45">
      <c r="A516" s="17">
        <f t="shared" si="8"/>
        <v>43</v>
      </c>
      <c r="B516" s="14" t="s">
        <v>11</v>
      </c>
      <c r="C516" s="1" t="s">
        <v>142</v>
      </c>
      <c r="D516" s="1" t="s">
        <v>143</v>
      </c>
      <c r="F516" t="s">
        <v>139</v>
      </c>
      <c r="G516" s="3" t="s">
        <v>176</v>
      </c>
      <c r="H516" s="2">
        <v>46327</v>
      </c>
      <c r="I516" s="36">
        <v>0.9</v>
      </c>
      <c r="J516" s="36">
        <v>0</v>
      </c>
      <c r="K516" s="33">
        <f>SUMIFS($J$2:J516,$C$2:C516,C516)</f>
        <v>0</v>
      </c>
    </row>
    <row r="517" spans="1:11" ht="45">
      <c r="A517" s="17">
        <f t="shared" si="8"/>
        <v>43</v>
      </c>
      <c r="B517" s="14" t="s">
        <v>11</v>
      </c>
      <c r="C517" s="1" t="s">
        <v>142</v>
      </c>
      <c r="D517" s="1" t="s">
        <v>143</v>
      </c>
      <c r="F517" t="s">
        <v>139</v>
      </c>
      <c r="G517" s="3" t="s">
        <v>176</v>
      </c>
      <c r="H517" s="2">
        <v>46357</v>
      </c>
      <c r="I517" s="36">
        <v>0.9</v>
      </c>
      <c r="J517" s="36">
        <v>0</v>
      </c>
      <c r="K517" s="33">
        <f>SUMIFS($J$2:J517,$C$2:C517,C517)</f>
        <v>0</v>
      </c>
    </row>
    <row r="518" spans="1:11" ht="45">
      <c r="A518" s="17">
        <f t="shared" si="8"/>
        <v>44</v>
      </c>
      <c r="B518" s="14" t="s">
        <v>12</v>
      </c>
      <c r="C518" s="1" t="s">
        <v>144</v>
      </c>
      <c r="D518" s="1" t="s">
        <v>145</v>
      </c>
      <c r="F518" t="s">
        <v>146</v>
      </c>
      <c r="G518" s="3" t="s">
        <v>176</v>
      </c>
      <c r="H518" s="2">
        <v>46023</v>
      </c>
      <c r="I518" s="36">
        <v>0.9</v>
      </c>
      <c r="J518" s="36">
        <v>0</v>
      </c>
      <c r="K518" s="33">
        <f>SUMIFS($J$2:J518,$C$2:C518,C518)</f>
        <v>0</v>
      </c>
    </row>
    <row r="519" spans="1:11" ht="45">
      <c r="A519" s="17">
        <f t="shared" si="8"/>
        <v>44</v>
      </c>
      <c r="B519" s="14" t="s">
        <v>12</v>
      </c>
      <c r="C519" s="1" t="s">
        <v>144</v>
      </c>
      <c r="D519" s="1" t="s">
        <v>145</v>
      </c>
      <c r="F519" t="s">
        <v>146</v>
      </c>
      <c r="G519" s="3" t="s">
        <v>176</v>
      </c>
      <c r="H519" s="2">
        <v>46054</v>
      </c>
      <c r="I519" s="36">
        <v>0.9</v>
      </c>
      <c r="J519" s="36">
        <v>0</v>
      </c>
      <c r="K519" s="33">
        <f>SUMIFS($J$2:J519,$C$2:C519,C519)</f>
        <v>0</v>
      </c>
    </row>
    <row r="520" spans="1:11" ht="45">
      <c r="A520" s="17">
        <f t="shared" si="8"/>
        <v>44</v>
      </c>
      <c r="B520" s="14" t="s">
        <v>12</v>
      </c>
      <c r="C520" s="1" t="s">
        <v>144</v>
      </c>
      <c r="D520" s="1" t="s">
        <v>145</v>
      </c>
      <c r="F520" t="s">
        <v>146</v>
      </c>
      <c r="G520" s="3" t="s">
        <v>176</v>
      </c>
      <c r="H520" s="2">
        <v>46082</v>
      </c>
      <c r="I520" s="36">
        <v>0.9</v>
      </c>
      <c r="J520" s="36">
        <v>0</v>
      </c>
      <c r="K520" s="33">
        <f>SUMIFS($J$2:J520,$C$2:C520,C520)</f>
        <v>0</v>
      </c>
    </row>
    <row r="521" spans="1:11" ht="45">
      <c r="A521" s="17">
        <f t="shared" si="8"/>
        <v>44</v>
      </c>
      <c r="B521" s="14" t="s">
        <v>12</v>
      </c>
      <c r="C521" s="1" t="s">
        <v>144</v>
      </c>
      <c r="D521" s="1" t="s">
        <v>145</v>
      </c>
      <c r="F521" t="s">
        <v>146</v>
      </c>
      <c r="G521" s="3" t="s">
        <v>176</v>
      </c>
      <c r="H521" s="2">
        <v>46113</v>
      </c>
      <c r="I521" s="36">
        <v>0.9</v>
      </c>
      <c r="J521" s="36">
        <v>0</v>
      </c>
      <c r="K521" s="33">
        <f>SUMIFS($J$2:J521,$C$2:C521,C521)</f>
        <v>0</v>
      </c>
    </row>
    <row r="522" spans="1:11" ht="45">
      <c r="A522" s="17">
        <f t="shared" si="8"/>
        <v>44</v>
      </c>
      <c r="B522" s="14" t="s">
        <v>12</v>
      </c>
      <c r="C522" s="1" t="s">
        <v>144</v>
      </c>
      <c r="D522" s="1" t="s">
        <v>145</v>
      </c>
      <c r="F522" t="s">
        <v>146</v>
      </c>
      <c r="G522" s="3" t="s">
        <v>176</v>
      </c>
      <c r="H522" s="2">
        <v>46143</v>
      </c>
      <c r="I522" s="36">
        <v>0.9</v>
      </c>
      <c r="J522" s="36">
        <v>0</v>
      </c>
      <c r="K522" s="33">
        <f>SUMIFS($J$2:J522,$C$2:C522,C522)</f>
        <v>0</v>
      </c>
    </row>
    <row r="523" spans="1:11" ht="45">
      <c r="A523" s="17">
        <f t="shared" si="8"/>
        <v>44</v>
      </c>
      <c r="B523" s="14" t="s">
        <v>12</v>
      </c>
      <c r="C523" s="1" t="s">
        <v>144</v>
      </c>
      <c r="D523" s="1" t="s">
        <v>145</v>
      </c>
      <c r="F523" t="s">
        <v>146</v>
      </c>
      <c r="G523" s="3" t="s">
        <v>176</v>
      </c>
      <c r="H523" s="2">
        <v>46174</v>
      </c>
      <c r="I523" s="36">
        <v>0.9</v>
      </c>
      <c r="J523" s="36">
        <v>0</v>
      </c>
      <c r="K523" s="33">
        <f>SUMIFS($J$2:J523,$C$2:C523,C523)</f>
        <v>0</v>
      </c>
    </row>
    <row r="524" spans="1:11" ht="45">
      <c r="A524" s="17">
        <f t="shared" si="8"/>
        <v>44</v>
      </c>
      <c r="B524" s="14" t="s">
        <v>12</v>
      </c>
      <c r="C524" s="1" t="s">
        <v>144</v>
      </c>
      <c r="D524" s="1" t="s">
        <v>145</v>
      </c>
      <c r="F524" t="s">
        <v>146</v>
      </c>
      <c r="G524" s="3" t="s">
        <v>176</v>
      </c>
      <c r="H524" s="2">
        <v>46204</v>
      </c>
      <c r="I524" s="36">
        <v>0.9</v>
      </c>
      <c r="J524" s="36">
        <v>0</v>
      </c>
      <c r="K524" s="33">
        <f>SUMIFS($J$2:J524,$C$2:C524,C524)</f>
        <v>0</v>
      </c>
    </row>
    <row r="525" spans="1:11" ht="45">
      <c r="A525" s="17">
        <f t="shared" si="8"/>
        <v>44</v>
      </c>
      <c r="B525" s="14" t="s">
        <v>12</v>
      </c>
      <c r="C525" s="1" t="s">
        <v>144</v>
      </c>
      <c r="D525" s="1" t="s">
        <v>145</v>
      </c>
      <c r="F525" t="s">
        <v>146</v>
      </c>
      <c r="G525" s="3" t="s">
        <v>176</v>
      </c>
      <c r="H525" s="2">
        <v>46235</v>
      </c>
      <c r="I525" s="36">
        <v>0.9</v>
      </c>
      <c r="J525" s="36">
        <v>0</v>
      </c>
      <c r="K525" s="33">
        <f>SUMIFS($J$2:J525,$C$2:C525,C525)</f>
        <v>0</v>
      </c>
    </row>
    <row r="526" spans="1:11" ht="45">
      <c r="A526" s="17">
        <f t="shared" si="8"/>
        <v>44</v>
      </c>
      <c r="B526" s="14" t="s">
        <v>12</v>
      </c>
      <c r="C526" s="1" t="s">
        <v>144</v>
      </c>
      <c r="D526" s="1" t="s">
        <v>145</v>
      </c>
      <c r="F526" t="s">
        <v>146</v>
      </c>
      <c r="G526" s="3" t="s">
        <v>176</v>
      </c>
      <c r="H526" s="2">
        <v>46266</v>
      </c>
      <c r="I526" s="36">
        <v>0.9</v>
      </c>
      <c r="J526" s="36">
        <v>0</v>
      </c>
      <c r="K526" s="33">
        <f>SUMIFS($J$2:J526,$C$2:C526,C526)</f>
        <v>0</v>
      </c>
    </row>
    <row r="527" spans="1:11" ht="45">
      <c r="A527" s="17">
        <f t="shared" si="8"/>
        <v>44</v>
      </c>
      <c r="B527" s="14" t="s">
        <v>12</v>
      </c>
      <c r="C527" s="1" t="s">
        <v>144</v>
      </c>
      <c r="D527" s="1" t="s">
        <v>145</v>
      </c>
      <c r="F527" t="s">
        <v>146</v>
      </c>
      <c r="G527" s="3" t="s">
        <v>176</v>
      </c>
      <c r="H527" s="2">
        <v>46296</v>
      </c>
      <c r="I527" s="36">
        <v>0.9</v>
      </c>
      <c r="J527" s="36">
        <v>0</v>
      </c>
      <c r="K527" s="33">
        <f>SUMIFS($J$2:J527,$C$2:C527,C527)</f>
        <v>0</v>
      </c>
    </row>
    <row r="528" spans="1:11" ht="45">
      <c r="A528" s="17">
        <f t="shared" si="8"/>
        <v>44</v>
      </c>
      <c r="B528" s="14" t="s">
        <v>12</v>
      </c>
      <c r="C528" s="1" t="s">
        <v>144</v>
      </c>
      <c r="D528" s="1" t="s">
        <v>145</v>
      </c>
      <c r="F528" t="s">
        <v>146</v>
      </c>
      <c r="G528" s="3" t="s">
        <v>176</v>
      </c>
      <c r="H528" s="2">
        <v>46327</v>
      </c>
      <c r="I528" s="36">
        <v>0.9</v>
      </c>
      <c r="J528" s="36">
        <v>0</v>
      </c>
      <c r="K528" s="33">
        <f>SUMIFS($J$2:J528,$C$2:C528,C528)</f>
        <v>0</v>
      </c>
    </row>
    <row r="529" spans="1:11" ht="45">
      <c r="A529" s="17">
        <f t="shared" si="8"/>
        <v>44</v>
      </c>
      <c r="B529" s="14" t="s">
        <v>12</v>
      </c>
      <c r="C529" s="1" t="s">
        <v>144</v>
      </c>
      <c r="D529" s="1" t="s">
        <v>145</v>
      </c>
      <c r="F529" t="s">
        <v>146</v>
      </c>
      <c r="G529" s="3" t="s">
        <v>176</v>
      </c>
      <c r="H529" s="2">
        <v>46357</v>
      </c>
      <c r="I529" s="36">
        <v>0.9</v>
      </c>
      <c r="J529" s="36">
        <v>0</v>
      </c>
      <c r="K529" s="33">
        <f>SUMIFS($J$2:J529,$C$2:C529,C529)</f>
        <v>0</v>
      </c>
    </row>
    <row r="530" spans="1:11" ht="50.1" hidden="1" customHeight="1">
      <c r="A530" s="17">
        <f t="shared" si="8"/>
        <v>45</v>
      </c>
      <c r="B530" s="14" t="s">
        <v>10</v>
      </c>
      <c r="C530" s="1" t="s">
        <v>147</v>
      </c>
      <c r="D530" s="1" t="s">
        <v>148</v>
      </c>
      <c r="E530" t="s">
        <v>113</v>
      </c>
      <c r="F530" t="s">
        <v>146</v>
      </c>
      <c r="G530" s="3" t="s">
        <v>176</v>
      </c>
      <c r="H530" s="2">
        <v>46023</v>
      </c>
      <c r="I530" s="36"/>
      <c r="J530" s="36">
        <v>0</v>
      </c>
      <c r="K530" s="33">
        <f>SUMIFS($J$2:J530,$C$2:C530,C530)</f>
        <v>0</v>
      </c>
    </row>
    <row r="531" spans="1:11" ht="50.1" hidden="1" customHeight="1">
      <c r="A531" s="17">
        <f t="shared" si="8"/>
        <v>45</v>
      </c>
      <c r="B531" s="14" t="s">
        <v>10</v>
      </c>
      <c r="C531" s="1" t="s">
        <v>147</v>
      </c>
      <c r="D531" s="1" t="s">
        <v>148</v>
      </c>
      <c r="E531" t="s">
        <v>113</v>
      </c>
      <c r="F531" t="s">
        <v>146</v>
      </c>
      <c r="G531" s="3" t="s">
        <v>176</v>
      </c>
      <c r="H531" s="2">
        <v>46054</v>
      </c>
      <c r="I531" s="36"/>
      <c r="J531" s="36">
        <v>0</v>
      </c>
      <c r="K531" s="33">
        <f>SUMIFS($J$2:J531,$C$2:C531,C531)</f>
        <v>0</v>
      </c>
    </row>
    <row r="532" spans="1:11" ht="50.1" hidden="1" customHeight="1">
      <c r="A532" s="17">
        <f t="shared" si="8"/>
        <v>45</v>
      </c>
      <c r="B532" s="14" t="s">
        <v>10</v>
      </c>
      <c r="C532" s="1" t="s">
        <v>147</v>
      </c>
      <c r="D532" s="1" t="s">
        <v>148</v>
      </c>
      <c r="E532" t="s">
        <v>113</v>
      </c>
      <c r="F532" t="s">
        <v>146</v>
      </c>
      <c r="G532" s="3" t="s">
        <v>176</v>
      </c>
      <c r="H532" s="2">
        <v>46082</v>
      </c>
      <c r="I532" s="36"/>
      <c r="J532" s="36">
        <v>0</v>
      </c>
      <c r="K532" s="33">
        <f>SUMIFS($J$2:J532,$C$2:C532,C532)</f>
        <v>0</v>
      </c>
    </row>
    <row r="533" spans="1:11" ht="50.1" hidden="1" customHeight="1">
      <c r="A533" s="17">
        <f t="shared" si="8"/>
        <v>45</v>
      </c>
      <c r="B533" s="14" t="s">
        <v>10</v>
      </c>
      <c r="C533" s="1" t="s">
        <v>147</v>
      </c>
      <c r="D533" s="1" t="s">
        <v>148</v>
      </c>
      <c r="E533" t="s">
        <v>113</v>
      </c>
      <c r="F533" t="s">
        <v>146</v>
      </c>
      <c r="G533" s="3" t="s">
        <v>176</v>
      </c>
      <c r="H533" s="2">
        <v>46113</v>
      </c>
      <c r="I533" s="36"/>
      <c r="J533" s="36">
        <v>0</v>
      </c>
      <c r="K533" s="33">
        <f>SUMIFS($J$2:J533,$C$2:C533,C533)</f>
        <v>0</v>
      </c>
    </row>
    <row r="534" spans="1:11" ht="50.1" hidden="1" customHeight="1">
      <c r="A534" s="17">
        <f t="shared" si="8"/>
        <v>45</v>
      </c>
      <c r="B534" s="14" t="s">
        <v>10</v>
      </c>
      <c r="C534" s="1" t="s">
        <v>147</v>
      </c>
      <c r="D534" s="1" t="s">
        <v>148</v>
      </c>
      <c r="E534" t="s">
        <v>113</v>
      </c>
      <c r="F534" t="s">
        <v>146</v>
      </c>
      <c r="G534" s="3" t="s">
        <v>176</v>
      </c>
      <c r="H534" s="2">
        <v>46143</v>
      </c>
      <c r="I534" s="36"/>
      <c r="J534" s="36">
        <v>0</v>
      </c>
      <c r="K534" s="33">
        <f>SUMIFS($J$2:J534,$C$2:C534,C534)</f>
        <v>0</v>
      </c>
    </row>
    <row r="535" spans="1:11" ht="50.1" hidden="1" customHeight="1">
      <c r="A535" s="17">
        <f t="shared" si="8"/>
        <v>45</v>
      </c>
      <c r="B535" s="14" t="s">
        <v>10</v>
      </c>
      <c r="C535" s="1" t="s">
        <v>147</v>
      </c>
      <c r="D535" s="1" t="s">
        <v>148</v>
      </c>
      <c r="E535" t="s">
        <v>113</v>
      </c>
      <c r="F535" t="s">
        <v>146</v>
      </c>
      <c r="G535" s="3" t="s">
        <v>176</v>
      </c>
      <c r="H535" s="2">
        <v>46174</v>
      </c>
      <c r="I535" s="36"/>
      <c r="J535" s="36">
        <v>0</v>
      </c>
      <c r="K535" s="33">
        <f>SUMIFS($J$2:J535,$C$2:C535,C535)</f>
        <v>0</v>
      </c>
    </row>
    <row r="536" spans="1:11" ht="50.1" hidden="1" customHeight="1">
      <c r="A536" s="17">
        <f t="shared" si="8"/>
        <v>45</v>
      </c>
      <c r="B536" s="14" t="s">
        <v>10</v>
      </c>
      <c r="C536" s="1" t="s">
        <v>147</v>
      </c>
      <c r="D536" s="1" t="s">
        <v>148</v>
      </c>
      <c r="E536" t="s">
        <v>113</v>
      </c>
      <c r="F536" t="s">
        <v>146</v>
      </c>
      <c r="G536" s="3" t="s">
        <v>176</v>
      </c>
      <c r="H536" s="2">
        <v>46204</v>
      </c>
      <c r="I536" s="36"/>
      <c r="J536" s="36">
        <v>0</v>
      </c>
      <c r="K536" s="33">
        <f>SUMIFS($J$2:J536,$C$2:C536,C536)</f>
        <v>0</v>
      </c>
    </row>
    <row r="537" spans="1:11" ht="50.1" hidden="1" customHeight="1">
      <c r="A537" s="17">
        <f t="shared" si="8"/>
        <v>45</v>
      </c>
      <c r="B537" s="14" t="s">
        <v>10</v>
      </c>
      <c r="C537" s="1" t="s">
        <v>147</v>
      </c>
      <c r="D537" s="1" t="s">
        <v>148</v>
      </c>
      <c r="E537" t="s">
        <v>113</v>
      </c>
      <c r="F537" t="s">
        <v>146</v>
      </c>
      <c r="G537" s="3" t="s">
        <v>176</v>
      </c>
      <c r="H537" s="2">
        <v>46235</v>
      </c>
      <c r="I537" s="36"/>
      <c r="J537" s="36">
        <v>0</v>
      </c>
      <c r="K537" s="33">
        <f>SUMIFS($J$2:J537,$C$2:C537,C537)</f>
        <v>0</v>
      </c>
    </row>
    <row r="538" spans="1:11" ht="50.1" hidden="1" customHeight="1">
      <c r="A538" s="17">
        <f t="shared" si="8"/>
        <v>45</v>
      </c>
      <c r="B538" s="14" t="s">
        <v>10</v>
      </c>
      <c r="C538" s="1" t="s">
        <v>147</v>
      </c>
      <c r="D538" s="1" t="s">
        <v>148</v>
      </c>
      <c r="E538" t="s">
        <v>113</v>
      </c>
      <c r="F538" t="s">
        <v>146</v>
      </c>
      <c r="G538" s="3" t="s">
        <v>176</v>
      </c>
      <c r="H538" s="2">
        <v>46266</v>
      </c>
      <c r="I538" s="36"/>
      <c r="J538" s="36">
        <v>0</v>
      </c>
      <c r="K538" s="33">
        <f>SUMIFS($J$2:J538,$C$2:C538,C538)</f>
        <v>0</v>
      </c>
    </row>
    <row r="539" spans="1:11" ht="50.1" hidden="1" customHeight="1">
      <c r="A539" s="17">
        <f t="shared" si="8"/>
        <v>45</v>
      </c>
      <c r="B539" s="14" t="s">
        <v>10</v>
      </c>
      <c r="C539" s="1" t="s">
        <v>147</v>
      </c>
      <c r="D539" s="1" t="s">
        <v>148</v>
      </c>
      <c r="E539" t="s">
        <v>113</v>
      </c>
      <c r="F539" t="s">
        <v>146</v>
      </c>
      <c r="G539" s="3" t="s">
        <v>176</v>
      </c>
      <c r="H539" s="2">
        <v>46296</v>
      </c>
      <c r="I539" s="36"/>
      <c r="J539" s="36">
        <v>0</v>
      </c>
      <c r="K539" s="33">
        <f>SUMIFS($J$2:J539,$C$2:C539,C539)</f>
        <v>0</v>
      </c>
    </row>
    <row r="540" spans="1:11" ht="50.1" hidden="1" customHeight="1">
      <c r="A540" s="17">
        <f t="shared" si="8"/>
        <v>45</v>
      </c>
      <c r="B540" s="14" t="s">
        <v>10</v>
      </c>
      <c r="C540" s="1" t="s">
        <v>147</v>
      </c>
      <c r="D540" s="1" t="s">
        <v>148</v>
      </c>
      <c r="E540" t="s">
        <v>113</v>
      </c>
      <c r="F540" t="s">
        <v>146</v>
      </c>
      <c r="G540" s="3" t="s">
        <v>176</v>
      </c>
      <c r="H540" s="2">
        <v>46327</v>
      </c>
      <c r="I540" s="36"/>
      <c r="J540" s="36">
        <v>0</v>
      </c>
      <c r="K540" s="33">
        <f>SUMIFS($J$2:J540,$C$2:C540,C540)</f>
        <v>0</v>
      </c>
    </row>
    <row r="541" spans="1:11" ht="50.1" hidden="1" customHeight="1">
      <c r="A541" s="17">
        <f t="shared" si="8"/>
        <v>45</v>
      </c>
      <c r="B541" s="14" t="s">
        <v>10</v>
      </c>
      <c r="C541" s="1" t="s">
        <v>147</v>
      </c>
      <c r="D541" s="1" t="s">
        <v>148</v>
      </c>
      <c r="E541" t="s">
        <v>113</v>
      </c>
      <c r="F541" t="s">
        <v>146</v>
      </c>
      <c r="G541" s="3" t="s">
        <v>176</v>
      </c>
      <c r="H541" s="2">
        <v>46357</v>
      </c>
      <c r="I541" s="36">
        <v>1</v>
      </c>
      <c r="J541" s="36">
        <v>0</v>
      </c>
      <c r="K541" s="33">
        <f>SUMIFS($J$2:J541,$C$2:C541,C541)</f>
        <v>0</v>
      </c>
    </row>
    <row r="542" spans="1:11" ht="50.1" hidden="1" customHeight="1">
      <c r="A542" s="17">
        <f t="shared" si="8"/>
        <v>46</v>
      </c>
      <c r="B542" s="14" t="s">
        <v>10</v>
      </c>
      <c r="C542" s="1" t="s">
        <v>149</v>
      </c>
      <c r="D542" s="1" t="s">
        <v>150</v>
      </c>
      <c r="E542" t="s">
        <v>151</v>
      </c>
      <c r="F542" t="s">
        <v>152</v>
      </c>
      <c r="G542" s="3" t="s">
        <v>176</v>
      </c>
      <c r="H542" s="2">
        <v>46023</v>
      </c>
      <c r="I542" s="36"/>
      <c r="J542" s="36">
        <v>0</v>
      </c>
      <c r="K542" s="33">
        <f>SUMIFS($J$2:J542,$C$2:C542,C542)</f>
        <v>0</v>
      </c>
    </row>
    <row r="543" spans="1:11" ht="50.1" hidden="1" customHeight="1">
      <c r="A543" s="17">
        <f t="shared" si="8"/>
        <v>46</v>
      </c>
      <c r="B543" s="14" t="s">
        <v>10</v>
      </c>
      <c r="C543" s="1" t="s">
        <v>149</v>
      </c>
      <c r="D543" s="1" t="s">
        <v>150</v>
      </c>
      <c r="E543" t="s">
        <v>151</v>
      </c>
      <c r="F543" t="s">
        <v>152</v>
      </c>
      <c r="G543" s="3" t="s">
        <v>176</v>
      </c>
      <c r="H543" s="2">
        <v>46054</v>
      </c>
      <c r="I543" s="36"/>
      <c r="J543" s="36">
        <v>0</v>
      </c>
      <c r="K543" s="33">
        <f>SUMIFS($J$2:J543,$C$2:C543,C543)</f>
        <v>0</v>
      </c>
    </row>
    <row r="544" spans="1:11" ht="50.1" hidden="1" customHeight="1">
      <c r="A544" s="17">
        <f t="shared" si="8"/>
        <v>46</v>
      </c>
      <c r="B544" s="14" t="s">
        <v>10</v>
      </c>
      <c r="C544" s="1" t="s">
        <v>149</v>
      </c>
      <c r="D544" s="1" t="s">
        <v>150</v>
      </c>
      <c r="E544" t="s">
        <v>151</v>
      </c>
      <c r="F544" t="s">
        <v>152</v>
      </c>
      <c r="G544" s="3" t="s">
        <v>176</v>
      </c>
      <c r="H544" s="2">
        <v>46082</v>
      </c>
      <c r="I544" s="36"/>
      <c r="J544" s="36">
        <v>0</v>
      </c>
      <c r="K544" s="33">
        <f>SUMIFS($J$2:J544,$C$2:C544,C544)</f>
        <v>0</v>
      </c>
    </row>
    <row r="545" spans="1:11" ht="50.1" hidden="1" customHeight="1">
      <c r="A545" s="17">
        <f t="shared" si="8"/>
        <v>46</v>
      </c>
      <c r="B545" s="14" t="s">
        <v>10</v>
      </c>
      <c r="C545" s="1" t="s">
        <v>149</v>
      </c>
      <c r="D545" s="1" t="s">
        <v>150</v>
      </c>
      <c r="E545" t="s">
        <v>151</v>
      </c>
      <c r="F545" t="s">
        <v>152</v>
      </c>
      <c r="G545" s="3" t="s">
        <v>176</v>
      </c>
      <c r="H545" s="2">
        <v>46113</v>
      </c>
      <c r="I545" s="36"/>
      <c r="J545" s="36">
        <v>0</v>
      </c>
      <c r="K545" s="33">
        <f>SUMIFS($J$2:J545,$C$2:C545,C545)</f>
        <v>0</v>
      </c>
    </row>
    <row r="546" spans="1:11" ht="50.1" hidden="1" customHeight="1">
      <c r="A546" s="17">
        <f t="shared" si="8"/>
        <v>46</v>
      </c>
      <c r="B546" s="14" t="s">
        <v>10</v>
      </c>
      <c r="C546" s="1" t="s">
        <v>149</v>
      </c>
      <c r="D546" s="1" t="s">
        <v>150</v>
      </c>
      <c r="E546" t="s">
        <v>151</v>
      </c>
      <c r="F546" t="s">
        <v>152</v>
      </c>
      <c r="G546" s="3" t="s">
        <v>176</v>
      </c>
      <c r="H546" s="2">
        <v>46143</v>
      </c>
      <c r="I546" s="36">
        <v>0.8</v>
      </c>
      <c r="J546" s="36">
        <v>0</v>
      </c>
      <c r="K546" s="33">
        <f>SUMIFS($J$2:J546,$C$2:C546,C546)</f>
        <v>0</v>
      </c>
    </row>
    <row r="547" spans="1:11" ht="50.1" hidden="1" customHeight="1">
      <c r="A547" s="17">
        <f t="shared" si="8"/>
        <v>46</v>
      </c>
      <c r="B547" s="14" t="s">
        <v>10</v>
      </c>
      <c r="C547" s="1" t="s">
        <v>149</v>
      </c>
      <c r="D547" s="1" t="s">
        <v>150</v>
      </c>
      <c r="E547" t="s">
        <v>151</v>
      </c>
      <c r="F547" t="s">
        <v>152</v>
      </c>
      <c r="G547" s="3" t="s">
        <v>176</v>
      </c>
      <c r="H547" s="2">
        <v>46174</v>
      </c>
      <c r="I547" s="36"/>
      <c r="J547" s="36">
        <v>0</v>
      </c>
      <c r="K547" s="33">
        <f>SUMIFS($J$2:J547,$C$2:C547,C547)</f>
        <v>0</v>
      </c>
    </row>
    <row r="548" spans="1:11" ht="50.1" hidden="1" customHeight="1">
      <c r="A548" s="17">
        <f t="shared" si="8"/>
        <v>46</v>
      </c>
      <c r="B548" s="14" t="s">
        <v>10</v>
      </c>
      <c r="C548" s="1" t="s">
        <v>149</v>
      </c>
      <c r="D548" s="1" t="s">
        <v>150</v>
      </c>
      <c r="E548" t="s">
        <v>151</v>
      </c>
      <c r="F548" t="s">
        <v>152</v>
      </c>
      <c r="G548" s="3" t="s">
        <v>176</v>
      </c>
      <c r="H548" s="2">
        <v>46204</v>
      </c>
      <c r="I548" s="36">
        <v>0.2</v>
      </c>
      <c r="J548" s="36">
        <v>0</v>
      </c>
      <c r="K548" s="33">
        <f>SUMIFS($J$2:J548,$C$2:C548,C548)</f>
        <v>0</v>
      </c>
    </row>
    <row r="549" spans="1:11" ht="50.1" hidden="1" customHeight="1">
      <c r="A549" s="17">
        <f t="shared" si="8"/>
        <v>46</v>
      </c>
      <c r="B549" s="14" t="s">
        <v>10</v>
      </c>
      <c r="C549" s="1" t="s">
        <v>149</v>
      </c>
      <c r="D549" s="1" t="s">
        <v>150</v>
      </c>
      <c r="E549" t="s">
        <v>151</v>
      </c>
      <c r="F549" t="s">
        <v>152</v>
      </c>
      <c r="G549" s="3" t="s">
        <v>176</v>
      </c>
      <c r="H549" s="2">
        <v>46235</v>
      </c>
      <c r="I549" s="36"/>
      <c r="J549" s="36">
        <v>0</v>
      </c>
      <c r="K549" s="33">
        <f>SUMIFS($J$2:J549,$C$2:C549,C549)</f>
        <v>0</v>
      </c>
    </row>
    <row r="550" spans="1:11" ht="50.1" hidden="1" customHeight="1">
      <c r="A550" s="17">
        <f t="shared" si="8"/>
        <v>46</v>
      </c>
      <c r="B550" s="14" t="s">
        <v>10</v>
      </c>
      <c r="C550" s="1" t="s">
        <v>149</v>
      </c>
      <c r="D550" s="1" t="s">
        <v>150</v>
      </c>
      <c r="E550" t="s">
        <v>151</v>
      </c>
      <c r="F550" t="s">
        <v>152</v>
      </c>
      <c r="G550" s="3" t="s">
        <v>176</v>
      </c>
      <c r="H550" s="2">
        <v>46266</v>
      </c>
      <c r="I550" s="36"/>
      <c r="J550" s="36">
        <v>0</v>
      </c>
      <c r="K550" s="33">
        <f>SUMIFS($J$2:J550,$C$2:C550,C550)</f>
        <v>0</v>
      </c>
    </row>
    <row r="551" spans="1:11" ht="50.1" hidden="1" customHeight="1">
      <c r="A551" s="17">
        <f t="shared" si="8"/>
        <v>46</v>
      </c>
      <c r="B551" s="14" t="s">
        <v>10</v>
      </c>
      <c r="C551" s="1" t="s">
        <v>149</v>
      </c>
      <c r="D551" s="1" t="s">
        <v>150</v>
      </c>
      <c r="E551" t="s">
        <v>151</v>
      </c>
      <c r="F551" t="s">
        <v>152</v>
      </c>
      <c r="G551" s="3" t="s">
        <v>176</v>
      </c>
      <c r="H551" s="2">
        <v>46296</v>
      </c>
      <c r="I551" s="36"/>
      <c r="J551" s="36">
        <v>0</v>
      </c>
      <c r="K551" s="33">
        <f>SUMIFS($J$2:J551,$C$2:C551,C551)</f>
        <v>0</v>
      </c>
    </row>
    <row r="552" spans="1:11" ht="50.1" hidden="1" customHeight="1">
      <c r="A552" s="17">
        <f t="shared" si="8"/>
        <v>46</v>
      </c>
      <c r="B552" s="14" t="s">
        <v>10</v>
      </c>
      <c r="C552" s="1" t="s">
        <v>149</v>
      </c>
      <c r="D552" s="1" t="s">
        <v>150</v>
      </c>
      <c r="E552" t="s">
        <v>151</v>
      </c>
      <c r="F552" t="s">
        <v>152</v>
      </c>
      <c r="G552" s="3" t="s">
        <v>176</v>
      </c>
      <c r="H552" s="2">
        <v>46327</v>
      </c>
      <c r="I552" s="36"/>
      <c r="J552" s="36">
        <v>0</v>
      </c>
      <c r="K552" s="33">
        <f>SUMIFS($J$2:J552,$C$2:C552,C552)</f>
        <v>0</v>
      </c>
    </row>
    <row r="553" spans="1:11" ht="50.1" hidden="1" customHeight="1">
      <c r="A553" s="17">
        <f t="shared" si="8"/>
        <v>46</v>
      </c>
      <c r="B553" s="14" t="s">
        <v>10</v>
      </c>
      <c r="C553" s="1" t="s">
        <v>149</v>
      </c>
      <c r="D553" s="1" t="s">
        <v>150</v>
      </c>
      <c r="E553" t="s">
        <v>151</v>
      </c>
      <c r="F553" t="s">
        <v>152</v>
      </c>
      <c r="G553" s="3" t="s">
        <v>176</v>
      </c>
      <c r="H553" s="2">
        <v>46357</v>
      </c>
      <c r="I553" s="36"/>
      <c r="J553" s="36">
        <v>0</v>
      </c>
      <c r="K553" s="33">
        <f>SUMIFS($J$2:J553,$C$2:C553,C553)</f>
        <v>0</v>
      </c>
    </row>
    <row r="554" spans="1:11" ht="50.1" hidden="1" customHeight="1">
      <c r="A554" s="17">
        <f t="shared" si="8"/>
        <v>47</v>
      </c>
      <c r="B554" s="14" t="s">
        <v>10</v>
      </c>
      <c r="C554" s="1" t="s">
        <v>153</v>
      </c>
      <c r="D554" s="1" t="s">
        <v>154</v>
      </c>
      <c r="E554" t="s">
        <v>155</v>
      </c>
      <c r="F554" t="s">
        <v>152</v>
      </c>
      <c r="G554" s="3" t="s">
        <v>176</v>
      </c>
      <c r="H554" s="2">
        <v>46023</v>
      </c>
      <c r="I554" s="36"/>
      <c r="J554" s="36">
        <v>0</v>
      </c>
      <c r="K554" s="33">
        <f>SUMIFS($J$2:J554,$C$2:C554,C554)</f>
        <v>0</v>
      </c>
    </row>
    <row r="555" spans="1:11" ht="50.1" hidden="1" customHeight="1">
      <c r="A555" s="17">
        <f t="shared" si="8"/>
        <v>47</v>
      </c>
      <c r="B555" s="14" t="s">
        <v>10</v>
      </c>
      <c r="C555" s="1" t="s">
        <v>153</v>
      </c>
      <c r="D555" s="1" t="s">
        <v>154</v>
      </c>
      <c r="E555" t="s">
        <v>155</v>
      </c>
      <c r="F555" t="s">
        <v>152</v>
      </c>
      <c r="G555" s="3" t="s">
        <v>176</v>
      </c>
      <c r="H555" s="2">
        <v>46054</v>
      </c>
      <c r="I555" s="36"/>
      <c r="J555" s="36">
        <v>0</v>
      </c>
      <c r="K555" s="33">
        <f>SUMIFS($J$2:J555,$C$2:C555,C555)</f>
        <v>0</v>
      </c>
    </row>
    <row r="556" spans="1:11" ht="50.1" hidden="1" customHeight="1">
      <c r="A556" s="17">
        <f t="shared" si="8"/>
        <v>47</v>
      </c>
      <c r="B556" s="14" t="s">
        <v>10</v>
      </c>
      <c r="C556" s="1" t="s">
        <v>153</v>
      </c>
      <c r="D556" s="1" t="s">
        <v>154</v>
      </c>
      <c r="E556" t="s">
        <v>155</v>
      </c>
      <c r="F556" t="s">
        <v>152</v>
      </c>
      <c r="G556" s="3" t="s">
        <v>176</v>
      </c>
      <c r="H556" s="2">
        <v>46082</v>
      </c>
      <c r="I556" s="36"/>
      <c r="J556" s="36">
        <v>0</v>
      </c>
      <c r="K556" s="33">
        <f>SUMIFS($J$2:J556,$C$2:C556,C556)</f>
        <v>0</v>
      </c>
    </row>
    <row r="557" spans="1:11" ht="50.1" hidden="1" customHeight="1">
      <c r="A557" s="17">
        <f t="shared" si="8"/>
        <v>47</v>
      </c>
      <c r="B557" s="14" t="s">
        <v>10</v>
      </c>
      <c r="C557" s="1" t="s">
        <v>153</v>
      </c>
      <c r="D557" s="1" t="s">
        <v>154</v>
      </c>
      <c r="E557" t="s">
        <v>155</v>
      </c>
      <c r="F557" t="s">
        <v>152</v>
      </c>
      <c r="G557" s="3" t="s">
        <v>176</v>
      </c>
      <c r="H557" s="2">
        <v>46113</v>
      </c>
      <c r="I557" s="36"/>
      <c r="J557" s="36">
        <v>0</v>
      </c>
      <c r="K557" s="33">
        <f>SUMIFS($J$2:J557,$C$2:C557,C557)</f>
        <v>0</v>
      </c>
    </row>
    <row r="558" spans="1:11" ht="50.1" hidden="1" customHeight="1">
      <c r="A558" s="17">
        <f t="shared" si="8"/>
        <v>47</v>
      </c>
      <c r="B558" s="14" t="s">
        <v>10</v>
      </c>
      <c r="C558" s="1" t="s">
        <v>153</v>
      </c>
      <c r="D558" s="1" t="s">
        <v>154</v>
      </c>
      <c r="E558" t="s">
        <v>155</v>
      </c>
      <c r="F558" t="s">
        <v>152</v>
      </c>
      <c r="G558" s="3" t="s">
        <v>176</v>
      </c>
      <c r="H558" s="2">
        <v>46143</v>
      </c>
      <c r="I558" s="36"/>
      <c r="J558" s="36">
        <v>0</v>
      </c>
      <c r="K558" s="33">
        <f>SUMIFS($J$2:J558,$C$2:C558,C558)</f>
        <v>0</v>
      </c>
    </row>
    <row r="559" spans="1:11" ht="50.1" hidden="1" customHeight="1">
      <c r="A559" s="17">
        <f t="shared" si="8"/>
        <v>47</v>
      </c>
      <c r="B559" s="14" t="s">
        <v>10</v>
      </c>
      <c r="C559" s="1" t="s">
        <v>153</v>
      </c>
      <c r="D559" s="1" t="s">
        <v>154</v>
      </c>
      <c r="E559" t="s">
        <v>155</v>
      </c>
      <c r="F559" t="s">
        <v>152</v>
      </c>
      <c r="G559" s="3" t="s">
        <v>176</v>
      </c>
      <c r="H559" s="2">
        <v>46174</v>
      </c>
      <c r="I559" s="36"/>
      <c r="J559" s="36">
        <v>0</v>
      </c>
      <c r="K559" s="33">
        <f>SUMIFS($J$2:J559,$C$2:C559,C559)</f>
        <v>0</v>
      </c>
    </row>
    <row r="560" spans="1:11" ht="50.1" hidden="1" customHeight="1">
      <c r="A560" s="17">
        <f t="shared" si="8"/>
        <v>47</v>
      </c>
      <c r="B560" s="14" t="s">
        <v>10</v>
      </c>
      <c r="C560" s="1" t="s">
        <v>153</v>
      </c>
      <c r="D560" s="1" t="s">
        <v>154</v>
      </c>
      <c r="E560" t="s">
        <v>155</v>
      </c>
      <c r="F560" t="s">
        <v>152</v>
      </c>
      <c r="G560" s="3" t="s">
        <v>176</v>
      </c>
      <c r="H560" s="2">
        <v>46204</v>
      </c>
      <c r="I560" s="36"/>
      <c r="J560" s="36">
        <v>0</v>
      </c>
      <c r="K560" s="33">
        <f>SUMIFS($J$2:J560,$C$2:C560,C560)</f>
        <v>0</v>
      </c>
    </row>
    <row r="561" spans="1:11" ht="50.1" hidden="1" customHeight="1">
      <c r="A561" s="17">
        <f t="shared" si="8"/>
        <v>47</v>
      </c>
      <c r="B561" s="14" t="s">
        <v>10</v>
      </c>
      <c r="C561" s="1" t="s">
        <v>153</v>
      </c>
      <c r="D561" s="1" t="s">
        <v>154</v>
      </c>
      <c r="E561" t="s">
        <v>155</v>
      </c>
      <c r="F561" t="s">
        <v>152</v>
      </c>
      <c r="G561" s="3" t="s">
        <v>176</v>
      </c>
      <c r="H561" s="2">
        <v>46235</v>
      </c>
      <c r="I561" s="36">
        <v>1</v>
      </c>
      <c r="J561" s="36">
        <v>0</v>
      </c>
      <c r="K561" s="33">
        <f>SUMIFS($J$2:J561,$C$2:C561,C561)</f>
        <v>0</v>
      </c>
    </row>
    <row r="562" spans="1:11" ht="50.1" hidden="1" customHeight="1">
      <c r="A562" s="17">
        <f t="shared" si="8"/>
        <v>47</v>
      </c>
      <c r="B562" s="14" t="s">
        <v>10</v>
      </c>
      <c r="C562" s="1" t="s">
        <v>153</v>
      </c>
      <c r="D562" s="1" t="s">
        <v>154</v>
      </c>
      <c r="E562" t="s">
        <v>155</v>
      </c>
      <c r="F562" t="s">
        <v>152</v>
      </c>
      <c r="G562" s="3" t="s">
        <v>176</v>
      </c>
      <c r="H562" s="2">
        <v>46266</v>
      </c>
      <c r="I562" s="36"/>
      <c r="J562" s="36">
        <v>0</v>
      </c>
      <c r="K562" s="33">
        <f>SUMIFS($J$2:J562,$C$2:C562,C562)</f>
        <v>0</v>
      </c>
    </row>
    <row r="563" spans="1:11" ht="50.1" hidden="1" customHeight="1">
      <c r="A563" s="17">
        <f t="shared" si="8"/>
        <v>47</v>
      </c>
      <c r="B563" s="14" t="s">
        <v>10</v>
      </c>
      <c r="C563" s="1" t="s">
        <v>153</v>
      </c>
      <c r="D563" s="1" t="s">
        <v>154</v>
      </c>
      <c r="E563" t="s">
        <v>155</v>
      </c>
      <c r="F563" t="s">
        <v>152</v>
      </c>
      <c r="G563" s="3" t="s">
        <v>176</v>
      </c>
      <c r="H563" s="2">
        <v>46296</v>
      </c>
      <c r="I563" s="36"/>
      <c r="J563" s="36">
        <v>0</v>
      </c>
      <c r="K563" s="33">
        <f>SUMIFS($J$2:J563,$C$2:C563,C563)</f>
        <v>0</v>
      </c>
    </row>
    <row r="564" spans="1:11" ht="50.1" hidden="1" customHeight="1">
      <c r="A564" s="17">
        <f t="shared" si="8"/>
        <v>47</v>
      </c>
      <c r="B564" s="14" t="s">
        <v>10</v>
      </c>
      <c r="C564" s="1" t="s">
        <v>153</v>
      </c>
      <c r="D564" s="1" t="s">
        <v>154</v>
      </c>
      <c r="E564" t="s">
        <v>155</v>
      </c>
      <c r="F564" t="s">
        <v>152</v>
      </c>
      <c r="G564" s="3" t="s">
        <v>176</v>
      </c>
      <c r="H564" s="2">
        <v>46327</v>
      </c>
      <c r="I564" s="36"/>
      <c r="J564" s="36">
        <v>0</v>
      </c>
      <c r="K564" s="33">
        <f>SUMIFS($J$2:J564,$C$2:C564,C564)</f>
        <v>0</v>
      </c>
    </row>
    <row r="565" spans="1:11" ht="50.1" hidden="1" customHeight="1">
      <c r="A565" s="17">
        <f t="shared" si="8"/>
        <v>47</v>
      </c>
      <c r="B565" s="14" t="s">
        <v>10</v>
      </c>
      <c r="C565" s="1" t="s">
        <v>153</v>
      </c>
      <c r="D565" s="1" t="s">
        <v>154</v>
      </c>
      <c r="E565" t="s">
        <v>155</v>
      </c>
      <c r="F565" t="s">
        <v>152</v>
      </c>
      <c r="G565" s="3" t="s">
        <v>176</v>
      </c>
      <c r="H565" s="2">
        <v>46357</v>
      </c>
      <c r="I565" s="36"/>
      <c r="J565" s="36">
        <v>0</v>
      </c>
      <c r="K565" s="33">
        <f>SUMIFS($J$2:J565,$C$2:C565,C565)</f>
        <v>0</v>
      </c>
    </row>
    <row r="566" spans="1:11" ht="50.1" hidden="1" customHeight="1">
      <c r="A566" s="17">
        <f t="shared" si="8"/>
        <v>48</v>
      </c>
      <c r="B566" s="14" t="s">
        <v>10</v>
      </c>
      <c r="C566" s="1" t="s">
        <v>156</v>
      </c>
      <c r="D566" s="1" t="s">
        <v>157</v>
      </c>
      <c r="E566" t="s">
        <v>158</v>
      </c>
      <c r="F566" t="s">
        <v>152</v>
      </c>
      <c r="G566" s="3" t="s">
        <v>176</v>
      </c>
      <c r="H566" s="2">
        <v>46023</v>
      </c>
      <c r="I566" s="36"/>
      <c r="J566" s="36">
        <v>0</v>
      </c>
      <c r="K566" s="33">
        <f>SUMIFS($J$2:J566,$C$2:C566,C566)</f>
        <v>0</v>
      </c>
    </row>
    <row r="567" spans="1:11" ht="50.1" hidden="1" customHeight="1">
      <c r="A567" s="17">
        <f t="shared" si="8"/>
        <v>48</v>
      </c>
      <c r="B567" s="14" t="s">
        <v>10</v>
      </c>
      <c r="C567" s="1" t="s">
        <v>156</v>
      </c>
      <c r="D567" s="1" t="s">
        <v>157</v>
      </c>
      <c r="E567" t="s">
        <v>158</v>
      </c>
      <c r="F567" t="s">
        <v>152</v>
      </c>
      <c r="G567" s="3" t="s">
        <v>176</v>
      </c>
      <c r="H567" s="2">
        <v>46054</v>
      </c>
      <c r="I567" s="36"/>
      <c r="J567" s="36">
        <v>0</v>
      </c>
      <c r="K567" s="33">
        <f>SUMIFS($J$2:J567,$C$2:C567,C567)</f>
        <v>0</v>
      </c>
    </row>
    <row r="568" spans="1:11" ht="50.1" hidden="1" customHeight="1">
      <c r="A568" s="17">
        <f t="shared" si="8"/>
        <v>48</v>
      </c>
      <c r="B568" s="14" t="s">
        <v>10</v>
      </c>
      <c r="C568" s="1" t="s">
        <v>156</v>
      </c>
      <c r="D568" s="1" t="s">
        <v>157</v>
      </c>
      <c r="E568" t="s">
        <v>158</v>
      </c>
      <c r="F568" t="s">
        <v>152</v>
      </c>
      <c r="G568" s="3" t="s">
        <v>176</v>
      </c>
      <c r="H568" s="2">
        <v>46082</v>
      </c>
      <c r="I568" s="36"/>
      <c r="J568" s="36">
        <v>0</v>
      </c>
      <c r="K568" s="33">
        <f>SUMIFS($J$2:J568,$C$2:C568,C568)</f>
        <v>0</v>
      </c>
    </row>
    <row r="569" spans="1:11" ht="50.1" hidden="1" customHeight="1">
      <c r="A569" s="17">
        <f t="shared" si="8"/>
        <v>48</v>
      </c>
      <c r="B569" s="14" t="s">
        <v>10</v>
      </c>
      <c r="C569" s="1" t="s">
        <v>156</v>
      </c>
      <c r="D569" s="1" t="s">
        <v>157</v>
      </c>
      <c r="E569" t="s">
        <v>158</v>
      </c>
      <c r="F569" t="s">
        <v>152</v>
      </c>
      <c r="G569" s="3" t="s">
        <v>176</v>
      </c>
      <c r="H569" s="2">
        <v>46113</v>
      </c>
      <c r="I569" s="36"/>
      <c r="J569" s="36">
        <v>0</v>
      </c>
      <c r="K569" s="33">
        <f>SUMIFS($J$2:J569,$C$2:C569,C569)</f>
        <v>0</v>
      </c>
    </row>
    <row r="570" spans="1:11" ht="50.1" hidden="1" customHeight="1">
      <c r="A570" s="17">
        <f t="shared" si="8"/>
        <v>48</v>
      </c>
      <c r="B570" s="14" t="s">
        <v>10</v>
      </c>
      <c r="C570" s="1" t="s">
        <v>156</v>
      </c>
      <c r="D570" s="1" t="s">
        <v>157</v>
      </c>
      <c r="E570" t="s">
        <v>158</v>
      </c>
      <c r="F570" t="s">
        <v>152</v>
      </c>
      <c r="G570" s="3" t="s">
        <v>176</v>
      </c>
      <c r="H570" s="2">
        <v>46143</v>
      </c>
      <c r="I570" s="36"/>
      <c r="J570" s="36">
        <v>0</v>
      </c>
      <c r="K570" s="33">
        <f>SUMIFS($J$2:J570,$C$2:C570,C570)</f>
        <v>0</v>
      </c>
    </row>
    <row r="571" spans="1:11" ht="50.1" hidden="1" customHeight="1">
      <c r="A571" s="17">
        <f t="shared" si="8"/>
        <v>48</v>
      </c>
      <c r="B571" s="14" t="s">
        <v>10</v>
      </c>
      <c r="C571" s="1" t="s">
        <v>156</v>
      </c>
      <c r="D571" s="1" t="s">
        <v>157</v>
      </c>
      <c r="E571" t="s">
        <v>158</v>
      </c>
      <c r="F571" t="s">
        <v>152</v>
      </c>
      <c r="G571" s="3" t="s">
        <v>176</v>
      </c>
      <c r="H571" s="2">
        <v>46174</v>
      </c>
      <c r="I571" s="36"/>
      <c r="J571" s="36">
        <v>0</v>
      </c>
      <c r="K571" s="33">
        <f>SUMIFS($J$2:J571,$C$2:C571,C571)</f>
        <v>0</v>
      </c>
    </row>
    <row r="572" spans="1:11" ht="50.1" hidden="1" customHeight="1">
      <c r="A572" s="17">
        <f t="shared" si="8"/>
        <v>48</v>
      </c>
      <c r="B572" s="14" t="s">
        <v>10</v>
      </c>
      <c r="C572" s="1" t="s">
        <v>156</v>
      </c>
      <c r="D572" s="1" t="s">
        <v>157</v>
      </c>
      <c r="E572" t="s">
        <v>158</v>
      </c>
      <c r="F572" t="s">
        <v>152</v>
      </c>
      <c r="G572" s="3" t="s">
        <v>176</v>
      </c>
      <c r="H572" s="2">
        <v>46204</v>
      </c>
      <c r="I572" s="36">
        <v>0.4</v>
      </c>
      <c r="J572" s="36">
        <v>0</v>
      </c>
      <c r="K572" s="33">
        <f>SUMIFS($J$2:J572,$C$2:C572,C572)</f>
        <v>0</v>
      </c>
    </row>
    <row r="573" spans="1:11" ht="50.1" hidden="1" customHeight="1">
      <c r="A573" s="17">
        <f t="shared" si="8"/>
        <v>48</v>
      </c>
      <c r="B573" s="14" t="s">
        <v>10</v>
      </c>
      <c r="C573" s="1" t="s">
        <v>156</v>
      </c>
      <c r="D573" s="1" t="s">
        <v>157</v>
      </c>
      <c r="E573" t="s">
        <v>158</v>
      </c>
      <c r="F573" t="s">
        <v>152</v>
      </c>
      <c r="G573" s="3" t="s">
        <v>176</v>
      </c>
      <c r="H573" s="2">
        <v>46235</v>
      </c>
      <c r="I573" s="36">
        <v>0.2</v>
      </c>
      <c r="J573" s="36">
        <v>0</v>
      </c>
      <c r="K573" s="33">
        <f>SUMIFS($J$2:J573,$C$2:C573,C573)</f>
        <v>0</v>
      </c>
    </row>
    <row r="574" spans="1:11" ht="50.1" hidden="1" customHeight="1">
      <c r="A574" s="17">
        <f t="shared" si="8"/>
        <v>48</v>
      </c>
      <c r="B574" s="14" t="s">
        <v>10</v>
      </c>
      <c r="C574" s="1" t="s">
        <v>156</v>
      </c>
      <c r="D574" s="1" t="s">
        <v>157</v>
      </c>
      <c r="E574" t="s">
        <v>158</v>
      </c>
      <c r="F574" t="s">
        <v>152</v>
      </c>
      <c r="G574" s="3" t="s">
        <v>176</v>
      </c>
      <c r="H574" s="2">
        <v>46266</v>
      </c>
      <c r="I574" s="36">
        <v>0.4</v>
      </c>
      <c r="J574" s="36">
        <v>0</v>
      </c>
      <c r="K574" s="33">
        <f>SUMIFS($J$2:J574,$C$2:C574,C574)</f>
        <v>0</v>
      </c>
    </row>
    <row r="575" spans="1:11" ht="50.1" hidden="1" customHeight="1">
      <c r="A575" s="17">
        <f t="shared" si="8"/>
        <v>48</v>
      </c>
      <c r="B575" s="14" t="s">
        <v>10</v>
      </c>
      <c r="C575" s="1" t="s">
        <v>156</v>
      </c>
      <c r="D575" s="1" t="s">
        <v>157</v>
      </c>
      <c r="E575" t="s">
        <v>158</v>
      </c>
      <c r="F575" t="s">
        <v>152</v>
      </c>
      <c r="G575" s="3" t="s">
        <v>176</v>
      </c>
      <c r="H575" s="2">
        <v>46296</v>
      </c>
      <c r="I575" s="36"/>
      <c r="J575" s="36">
        <v>0</v>
      </c>
      <c r="K575" s="33">
        <f>SUMIFS($J$2:J575,$C$2:C575,C575)</f>
        <v>0</v>
      </c>
    </row>
    <row r="576" spans="1:11" ht="50.1" hidden="1" customHeight="1">
      <c r="A576" s="17">
        <f t="shared" si="8"/>
        <v>48</v>
      </c>
      <c r="B576" s="14" t="s">
        <v>10</v>
      </c>
      <c r="C576" s="1" t="s">
        <v>156</v>
      </c>
      <c r="D576" s="1" t="s">
        <v>157</v>
      </c>
      <c r="E576" t="s">
        <v>158</v>
      </c>
      <c r="F576" t="s">
        <v>152</v>
      </c>
      <c r="G576" s="3" t="s">
        <v>176</v>
      </c>
      <c r="H576" s="2">
        <v>46327</v>
      </c>
      <c r="I576" s="36"/>
      <c r="J576" s="36">
        <v>0</v>
      </c>
      <c r="K576" s="33">
        <f>SUMIFS($J$2:J576,$C$2:C576,C576)</f>
        <v>0</v>
      </c>
    </row>
    <row r="577" spans="1:11" ht="50.1" hidden="1" customHeight="1">
      <c r="A577" s="17">
        <f t="shared" si="8"/>
        <v>48</v>
      </c>
      <c r="B577" s="14" t="s">
        <v>10</v>
      </c>
      <c r="C577" s="1" t="s">
        <v>156</v>
      </c>
      <c r="D577" s="1" t="s">
        <v>157</v>
      </c>
      <c r="E577" t="s">
        <v>158</v>
      </c>
      <c r="F577" t="s">
        <v>152</v>
      </c>
      <c r="G577" s="3" t="s">
        <v>176</v>
      </c>
      <c r="H577" s="2">
        <v>46357</v>
      </c>
      <c r="I577" s="36"/>
      <c r="J577" s="36">
        <v>0</v>
      </c>
      <c r="K577" s="33">
        <f>SUMIFS($J$2:J577,$C$2:C577,C577)</f>
        <v>0</v>
      </c>
    </row>
    <row r="578" spans="1:11" ht="50.1" hidden="1" customHeight="1">
      <c r="A578" s="17">
        <f t="shared" si="8"/>
        <v>49</v>
      </c>
      <c r="B578" s="14" t="s">
        <v>10</v>
      </c>
      <c r="C578" s="1" t="s">
        <v>159</v>
      </c>
      <c r="D578" s="1" t="s">
        <v>160</v>
      </c>
      <c r="E578" t="s">
        <v>161</v>
      </c>
      <c r="F578" t="s">
        <v>152</v>
      </c>
      <c r="G578" s="3" t="s">
        <v>176</v>
      </c>
      <c r="H578" s="2">
        <v>46023</v>
      </c>
      <c r="I578" s="36"/>
      <c r="J578" s="36">
        <v>0</v>
      </c>
      <c r="K578" s="33">
        <f>SUMIFS($J$2:J578,$C$2:C578,C578)</f>
        <v>0</v>
      </c>
    </row>
    <row r="579" spans="1:11" ht="50.1" hidden="1" customHeight="1">
      <c r="A579" s="17">
        <f t="shared" ref="A579:A637" si="9">INT((ROW(A579)-2)/12)+1</f>
        <v>49</v>
      </c>
      <c r="B579" s="14" t="s">
        <v>10</v>
      </c>
      <c r="C579" s="1" t="s">
        <v>159</v>
      </c>
      <c r="D579" s="1" t="s">
        <v>160</v>
      </c>
      <c r="E579" t="s">
        <v>161</v>
      </c>
      <c r="F579" t="s">
        <v>152</v>
      </c>
      <c r="G579" s="3" t="s">
        <v>176</v>
      </c>
      <c r="H579" s="2">
        <v>46054</v>
      </c>
      <c r="I579" s="36"/>
      <c r="J579" s="36">
        <v>0</v>
      </c>
      <c r="K579" s="33">
        <f>SUMIFS($J$2:J579,$C$2:C579,C579)</f>
        <v>0</v>
      </c>
    </row>
    <row r="580" spans="1:11" ht="50.1" hidden="1" customHeight="1">
      <c r="A580" s="17">
        <f t="shared" si="9"/>
        <v>49</v>
      </c>
      <c r="B580" s="14" t="s">
        <v>10</v>
      </c>
      <c r="C580" s="1" t="s">
        <v>159</v>
      </c>
      <c r="D580" s="1" t="s">
        <v>160</v>
      </c>
      <c r="E580" t="s">
        <v>161</v>
      </c>
      <c r="F580" t="s">
        <v>152</v>
      </c>
      <c r="G580" s="3" t="s">
        <v>176</v>
      </c>
      <c r="H580" s="2">
        <v>46082</v>
      </c>
      <c r="I580" s="36"/>
      <c r="J580" s="36">
        <v>0</v>
      </c>
      <c r="K580" s="33">
        <f>SUMIFS($J$2:J580,$C$2:C580,C580)</f>
        <v>0</v>
      </c>
    </row>
    <row r="581" spans="1:11" ht="50.1" hidden="1" customHeight="1">
      <c r="A581" s="17">
        <f t="shared" si="9"/>
        <v>49</v>
      </c>
      <c r="B581" s="14" t="s">
        <v>10</v>
      </c>
      <c r="C581" s="1" t="s">
        <v>159</v>
      </c>
      <c r="D581" s="1" t="s">
        <v>160</v>
      </c>
      <c r="E581" t="s">
        <v>161</v>
      </c>
      <c r="F581" t="s">
        <v>152</v>
      </c>
      <c r="G581" s="3" t="s">
        <v>176</v>
      </c>
      <c r="H581" s="2">
        <v>46113</v>
      </c>
      <c r="I581" s="36"/>
      <c r="J581" s="36">
        <v>0</v>
      </c>
      <c r="K581" s="33">
        <f>SUMIFS($J$2:J581,$C$2:C581,C581)</f>
        <v>0</v>
      </c>
    </row>
    <row r="582" spans="1:11" ht="50.1" hidden="1" customHeight="1">
      <c r="A582" s="17">
        <f t="shared" si="9"/>
        <v>49</v>
      </c>
      <c r="B582" s="14" t="s">
        <v>10</v>
      </c>
      <c r="C582" s="1" t="s">
        <v>159</v>
      </c>
      <c r="D582" s="1" t="s">
        <v>160</v>
      </c>
      <c r="E582" t="s">
        <v>161</v>
      </c>
      <c r="F582" t="s">
        <v>152</v>
      </c>
      <c r="G582" s="3" t="s">
        <v>176</v>
      </c>
      <c r="H582" s="2">
        <v>46143</v>
      </c>
      <c r="I582" s="36"/>
      <c r="J582" s="36">
        <v>0</v>
      </c>
      <c r="K582" s="33">
        <f>SUMIFS($J$2:J582,$C$2:C582,C582)</f>
        <v>0</v>
      </c>
    </row>
    <row r="583" spans="1:11" ht="50.1" hidden="1" customHeight="1">
      <c r="A583" s="17">
        <f t="shared" si="9"/>
        <v>49</v>
      </c>
      <c r="B583" s="14" t="s">
        <v>10</v>
      </c>
      <c r="C583" s="1" t="s">
        <v>159</v>
      </c>
      <c r="D583" s="1" t="s">
        <v>160</v>
      </c>
      <c r="E583" t="s">
        <v>161</v>
      </c>
      <c r="F583" t="s">
        <v>152</v>
      </c>
      <c r="G583" s="3" t="s">
        <v>176</v>
      </c>
      <c r="H583" s="2">
        <v>46174</v>
      </c>
      <c r="I583" s="36">
        <v>0.4</v>
      </c>
      <c r="J583" s="36">
        <v>0</v>
      </c>
      <c r="K583" s="33">
        <f>SUMIFS($J$2:J583,$C$2:C583,C583)</f>
        <v>0</v>
      </c>
    </row>
    <row r="584" spans="1:11" ht="50.1" hidden="1" customHeight="1">
      <c r="A584" s="17">
        <f t="shared" si="9"/>
        <v>49</v>
      </c>
      <c r="B584" s="14" t="s">
        <v>10</v>
      </c>
      <c r="C584" s="1" t="s">
        <v>159</v>
      </c>
      <c r="D584" s="1" t="s">
        <v>160</v>
      </c>
      <c r="E584" t="s">
        <v>161</v>
      </c>
      <c r="F584" t="s">
        <v>152</v>
      </c>
      <c r="G584" s="3" t="s">
        <v>176</v>
      </c>
      <c r="H584" s="2">
        <v>46204</v>
      </c>
      <c r="I584" s="36"/>
      <c r="J584" s="36">
        <v>0</v>
      </c>
      <c r="K584" s="33">
        <f>SUMIFS($J$2:J584,$C$2:C584,C584)</f>
        <v>0</v>
      </c>
    </row>
    <row r="585" spans="1:11" ht="50.1" hidden="1" customHeight="1">
      <c r="A585" s="17">
        <f t="shared" si="9"/>
        <v>49</v>
      </c>
      <c r="B585" s="14" t="s">
        <v>10</v>
      </c>
      <c r="C585" s="1" t="s">
        <v>159</v>
      </c>
      <c r="D585" s="1" t="s">
        <v>160</v>
      </c>
      <c r="E585" t="s">
        <v>161</v>
      </c>
      <c r="F585" t="s">
        <v>152</v>
      </c>
      <c r="G585" s="3" t="s">
        <v>176</v>
      </c>
      <c r="H585" s="2">
        <v>46235</v>
      </c>
      <c r="I585" s="36"/>
      <c r="J585" s="36">
        <v>0</v>
      </c>
      <c r="K585" s="33">
        <f>SUMIFS($J$2:J585,$C$2:C585,C585)</f>
        <v>0</v>
      </c>
    </row>
    <row r="586" spans="1:11" ht="50.1" hidden="1" customHeight="1">
      <c r="A586" s="17">
        <f t="shared" si="9"/>
        <v>49</v>
      </c>
      <c r="B586" s="14" t="s">
        <v>10</v>
      </c>
      <c r="C586" s="1" t="s">
        <v>159</v>
      </c>
      <c r="D586" s="1" t="s">
        <v>160</v>
      </c>
      <c r="E586" t="s">
        <v>161</v>
      </c>
      <c r="F586" t="s">
        <v>152</v>
      </c>
      <c r="G586" s="3" t="s">
        <v>176</v>
      </c>
      <c r="H586" s="2">
        <v>46266</v>
      </c>
      <c r="I586" s="36"/>
      <c r="J586" s="36">
        <v>0</v>
      </c>
      <c r="K586" s="33">
        <f>SUMIFS($J$2:J586,$C$2:C586,C586)</f>
        <v>0</v>
      </c>
    </row>
    <row r="587" spans="1:11" ht="50.1" hidden="1" customHeight="1">
      <c r="A587" s="17">
        <f t="shared" si="9"/>
        <v>49</v>
      </c>
      <c r="B587" s="14" t="s">
        <v>10</v>
      </c>
      <c r="C587" s="1" t="s">
        <v>159</v>
      </c>
      <c r="D587" s="1" t="s">
        <v>160</v>
      </c>
      <c r="E587" t="s">
        <v>161</v>
      </c>
      <c r="F587" t="s">
        <v>152</v>
      </c>
      <c r="G587" s="3" t="s">
        <v>176</v>
      </c>
      <c r="H587" s="2">
        <v>46296</v>
      </c>
      <c r="I587" s="36">
        <v>0.3</v>
      </c>
      <c r="J587" s="36">
        <v>0</v>
      </c>
      <c r="K587" s="33">
        <f>SUMIFS($J$2:J587,$C$2:C587,C587)</f>
        <v>0</v>
      </c>
    </row>
    <row r="588" spans="1:11" ht="50.1" hidden="1" customHeight="1">
      <c r="A588" s="17">
        <f t="shared" si="9"/>
        <v>49</v>
      </c>
      <c r="B588" s="14" t="s">
        <v>10</v>
      </c>
      <c r="C588" s="1" t="s">
        <v>159</v>
      </c>
      <c r="D588" s="1" t="s">
        <v>160</v>
      </c>
      <c r="E588" t="s">
        <v>161</v>
      </c>
      <c r="F588" t="s">
        <v>152</v>
      </c>
      <c r="G588" s="3" t="s">
        <v>176</v>
      </c>
      <c r="H588" s="2">
        <v>46327</v>
      </c>
      <c r="I588" s="36"/>
      <c r="J588" s="36">
        <v>0</v>
      </c>
      <c r="K588" s="33">
        <f>SUMIFS($J$2:J588,$C$2:C588,C588)</f>
        <v>0</v>
      </c>
    </row>
    <row r="589" spans="1:11" ht="50.1" hidden="1" customHeight="1">
      <c r="A589" s="17">
        <f t="shared" si="9"/>
        <v>49</v>
      </c>
      <c r="B589" s="14" t="s">
        <v>10</v>
      </c>
      <c r="C589" s="1" t="s">
        <v>159</v>
      </c>
      <c r="D589" s="1" t="s">
        <v>160</v>
      </c>
      <c r="E589" t="s">
        <v>161</v>
      </c>
      <c r="F589" t="s">
        <v>152</v>
      </c>
      <c r="G589" s="3" t="s">
        <v>176</v>
      </c>
      <c r="H589" s="2">
        <v>46357</v>
      </c>
      <c r="I589" s="36">
        <v>0.3</v>
      </c>
      <c r="J589" s="36">
        <v>0</v>
      </c>
      <c r="K589" s="33">
        <f>SUMIFS($J$2:J589,$C$2:C589,C589)</f>
        <v>0</v>
      </c>
    </row>
    <row r="590" spans="1:11" ht="50.1" hidden="1" customHeight="1">
      <c r="A590" s="17">
        <f t="shared" si="9"/>
        <v>50</v>
      </c>
      <c r="B590" s="14" t="s">
        <v>10</v>
      </c>
      <c r="C590" s="1" t="s">
        <v>162</v>
      </c>
      <c r="D590" s="1" t="s">
        <v>163</v>
      </c>
      <c r="E590" t="s">
        <v>164</v>
      </c>
      <c r="F590" t="s">
        <v>165</v>
      </c>
      <c r="G590" s="3" t="s">
        <v>176</v>
      </c>
      <c r="H590" s="2">
        <v>46023</v>
      </c>
      <c r="I590" s="36"/>
      <c r="J590" s="36">
        <v>0</v>
      </c>
      <c r="K590" s="33">
        <f>SUMIFS($J$2:J590,$C$2:C590,C590)</f>
        <v>0</v>
      </c>
    </row>
    <row r="591" spans="1:11" ht="50.1" hidden="1" customHeight="1">
      <c r="A591" s="17">
        <f t="shared" si="9"/>
        <v>50</v>
      </c>
      <c r="B591" s="14" t="s">
        <v>10</v>
      </c>
      <c r="C591" s="1" t="s">
        <v>162</v>
      </c>
      <c r="D591" s="1" t="s">
        <v>163</v>
      </c>
      <c r="E591" t="s">
        <v>164</v>
      </c>
      <c r="F591" t="s">
        <v>165</v>
      </c>
      <c r="G591" s="3" t="s">
        <v>176</v>
      </c>
      <c r="H591" s="2">
        <v>46054</v>
      </c>
      <c r="I591" s="36"/>
      <c r="J591" s="36">
        <v>0</v>
      </c>
      <c r="K591" s="33">
        <f>SUMIFS($J$2:J591,$C$2:C591,C591)</f>
        <v>0</v>
      </c>
    </row>
    <row r="592" spans="1:11" ht="50.1" hidden="1" customHeight="1">
      <c r="A592" s="17">
        <f t="shared" si="9"/>
        <v>50</v>
      </c>
      <c r="B592" s="14" t="s">
        <v>10</v>
      </c>
      <c r="C592" s="1" t="s">
        <v>162</v>
      </c>
      <c r="D592" s="1" t="s">
        <v>163</v>
      </c>
      <c r="E592" t="s">
        <v>164</v>
      </c>
      <c r="F592" t="s">
        <v>165</v>
      </c>
      <c r="G592" s="3" t="s">
        <v>176</v>
      </c>
      <c r="H592" s="2">
        <v>46082</v>
      </c>
      <c r="I592" s="36"/>
      <c r="J592" s="36">
        <v>0</v>
      </c>
      <c r="K592" s="33">
        <f>SUMIFS($J$2:J592,$C$2:C592,C592)</f>
        <v>0</v>
      </c>
    </row>
    <row r="593" spans="1:11" ht="50.1" hidden="1" customHeight="1">
      <c r="A593" s="17">
        <f t="shared" si="9"/>
        <v>50</v>
      </c>
      <c r="B593" s="14" t="s">
        <v>10</v>
      </c>
      <c r="C593" s="1" t="s">
        <v>162</v>
      </c>
      <c r="D593" s="1" t="s">
        <v>163</v>
      </c>
      <c r="E593" t="s">
        <v>164</v>
      </c>
      <c r="F593" t="s">
        <v>165</v>
      </c>
      <c r="G593" s="3" t="s">
        <v>176</v>
      </c>
      <c r="H593" s="2">
        <v>46113</v>
      </c>
      <c r="I593" s="36">
        <v>0.45</v>
      </c>
      <c r="J593" s="36">
        <v>0.45</v>
      </c>
      <c r="K593" s="33">
        <f>SUMIFS($J$2:J593,$C$2:C593,C593)</f>
        <v>0.45</v>
      </c>
    </row>
    <row r="594" spans="1:11" ht="50.1" hidden="1" customHeight="1">
      <c r="A594" s="17">
        <f t="shared" si="9"/>
        <v>50</v>
      </c>
      <c r="B594" s="14" t="s">
        <v>10</v>
      </c>
      <c r="C594" s="1" t="s">
        <v>162</v>
      </c>
      <c r="D594" s="1" t="s">
        <v>163</v>
      </c>
      <c r="E594" t="s">
        <v>164</v>
      </c>
      <c r="F594" t="s">
        <v>165</v>
      </c>
      <c r="G594" s="3" t="s">
        <v>176</v>
      </c>
      <c r="H594" s="2">
        <v>46143</v>
      </c>
      <c r="I594" s="36">
        <v>0.15</v>
      </c>
      <c r="J594" s="36">
        <v>0</v>
      </c>
      <c r="K594" s="33">
        <f>SUMIFS($J$2:J594,$C$2:C594,C594)</f>
        <v>0.45</v>
      </c>
    </row>
    <row r="595" spans="1:11" ht="50.1" hidden="1" customHeight="1">
      <c r="A595" s="17">
        <f t="shared" si="9"/>
        <v>50</v>
      </c>
      <c r="B595" s="14" t="s">
        <v>10</v>
      </c>
      <c r="C595" s="1" t="s">
        <v>162</v>
      </c>
      <c r="D595" s="1" t="s">
        <v>163</v>
      </c>
      <c r="E595" t="s">
        <v>164</v>
      </c>
      <c r="F595" t="s">
        <v>165</v>
      </c>
      <c r="G595" s="3" t="s">
        <v>176</v>
      </c>
      <c r="H595" s="2">
        <v>46174</v>
      </c>
      <c r="I595" s="36"/>
      <c r="J595" s="36">
        <v>0</v>
      </c>
      <c r="K595" s="33">
        <f>SUMIFS($J$2:J595,$C$2:C595,C595)</f>
        <v>0.45</v>
      </c>
    </row>
    <row r="596" spans="1:11" ht="50.1" hidden="1" customHeight="1">
      <c r="A596" s="17">
        <f t="shared" si="9"/>
        <v>50</v>
      </c>
      <c r="B596" s="14" t="s">
        <v>10</v>
      </c>
      <c r="C596" s="1" t="s">
        <v>162</v>
      </c>
      <c r="D596" s="1" t="s">
        <v>163</v>
      </c>
      <c r="E596" t="s">
        <v>164</v>
      </c>
      <c r="F596" t="s">
        <v>165</v>
      </c>
      <c r="G596" s="3" t="s">
        <v>176</v>
      </c>
      <c r="H596" s="2">
        <v>46204</v>
      </c>
      <c r="I596" s="36"/>
      <c r="J596" s="36">
        <v>0</v>
      </c>
      <c r="K596" s="33">
        <f>SUMIFS($J$2:J596,$C$2:C596,C596)</f>
        <v>0.45</v>
      </c>
    </row>
    <row r="597" spans="1:11" ht="50.1" hidden="1" customHeight="1">
      <c r="A597" s="17">
        <f t="shared" si="9"/>
        <v>50</v>
      </c>
      <c r="B597" s="14" t="s">
        <v>10</v>
      </c>
      <c r="C597" s="1" t="s">
        <v>162</v>
      </c>
      <c r="D597" s="1" t="s">
        <v>163</v>
      </c>
      <c r="E597" t="s">
        <v>164</v>
      </c>
      <c r="F597" t="s">
        <v>165</v>
      </c>
      <c r="G597" s="3" t="s">
        <v>176</v>
      </c>
      <c r="H597" s="2">
        <v>46235</v>
      </c>
      <c r="I597" s="36"/>
      <c r="J597" s="36">
        <v>0</v>
      </c>
      <c r="K597" s="33">
        <f>SUMIFS($J$2:J597,$C$2:C597,C597)</f>
        <v>0.45</v>
      </c>
    </row>
    <row r="598" spans="1:11" ht="50.1" hidden="1" customHeight="1">
      <c r="A598" s="17">
        <f t="shared" si="9"/>
        <v>50</v>
      </c>
      <c r="B598" s="14" t="s">
        <v>10</v>
      </c>
      <c r="C598" s="1" t="s">
        <v>162</v>
      </c>
      <c r="D598" s="1" t="s">
        <v>163</v>
      </c>
      <c r="E598" t="s">
        <v>164</v>
      </c>
      <c r="F598" t="s">
        <v>165</v>
      </c>
      <c r="G598" s="3" t="s">
        <v>176</v>
      </c>
      <c r="H598" s="2">
        <v>46266</v>
      </c>
      <c r="I598" s="36"/>
      <c r="J598" s="36">
        <v>0</v>
      </c>
      <c r="K598" s="33">
        <f>SUMIFS($J$2:J598,$C$2:C598,C598)</f>
        <v>0.45</v>
      </c>
    </row>
    <row r="599" spans="1:11" ht="50.1" hidden="1" customHeight="1">
      <c r="A599" s="17">
        <f t="shared" si="9"/>
        <v>50</v>
      </c>
      <c r="B599" s="14" t="s">
        <v>10</v>
      </c>
      <c r="C599" s="1" t="s">
        <v>162</v>
      </c>
      <c r="D599" s="1" t="s">
        <v>163</v>
      </c>
      <c r="E599" t="s">
        <v>164</v>
      </c>
      <c r="F599" t="s">
        <v>165</v>
      </c>
      <c r="G599" s="3" t="s">
        <v>176</v>
      </c>
      <c r="H599" s="2">
        <v>46296</v>
      </c>
      <c r="I599" s="36"/>
      <c r="J599" s="36">
        <v>0</v>
      </c>
      <c r="K599" s="33">
        <f>SUMIFS($J$2:J599,$C$2:C599,C599)</f>
        <v>0.45</v>
      </c>
    </row>
    <row r="600" spans="1:11" ht="50.1" hidden="1" customHeight="1">
      <c r="A600" s="17">
        <f t="shared" si="9"/>
        <v>50</v>
      </c>
      <c r="B600" s="14" t="s">
        <v>10</v>
      </c>
      <c r="C600" s="1" t="s">
        <v>162</v>
      </c>
      <c r="D600" s="1" t="s">
        <v>163</v>
      </c>
      <c r="E600" t="s">
        <v>164</v>
      </c>
      <c r="F600" t="s">
        <v>165</v>
      </c>
      <c r="G600" s="3" t="s">
        <v>176</v>
      </c>
      <c r="H600" s="2">
        <v>46327</v>
      </c>
      <c r="I600" s="36"/>
      <c r="J600" s="36">
        <v>0</v>
      </c>
      <c r="K600" s="33">
        <f>SUMIFS($J$2:J600,$C$2:C600,C600)</f>
        <v>0.45</v>
      </c>
    </row>
    <row r="601" spans="1:11" ht="50.1" hidden="1" customHeight="1">
      <c r="A601" s="17">
        <f t="shared" si="9"/>
        <v>50</v>
      </c>
      <c r="B601" s="14" t="s">
        <v>10</v>
      </c>
      <c r="C601" s="1" t="s">
        <v>162</v>
      </c>
      <c r="D601" s="1" t="s">
        <v>163</v>
      </c>
      <c r="E601" t="s">
        <v>164</v>
      </c>
      <c r="F601" t="s">
        <v>165</v>
      </c>
      <c r="G601" s="3" t="s">
        <v>176</v>
      </c>
      <c r="H601" s="2">
        <v>46357</v>
      </c>
      <c r="I601" s="36">
        <v>0.4</v>
      </c>
      <c r="J601" s="36">
        <v>0</v>
      </c>
      <c r="K601" s="33">
        <f>SUMIFS($J$2:J601,$C$2:C601,C601)</f>
        <v>0.45</v>
      </c>
    </row>
    <row r="602" spans="1:11" ht="50.1" hidden="1" customHeight="1">
      <c r="A602" s="17">
        <f t="shared" si="9"/>
        <v>51</v>
      </c>
      <c r="B602" s="14" t="s">
        <v>10</v>
      </c>
      <c r="C602" s="1" t="s">
        <v>166</v>
      </c>
      <c r="D602" s="1" t="s">
        <v>167</v>
      </c>
      <c r="E602" t="s">
        <v>168</v>
      </c>
      <c r="F602" t="s">
        <v>169</v>
      </c>
      <c r="G602" s="3" t="s">
        <v>176</v>
      </c>
      <c r="H602" s="2">
        <v>46023</v>
      </c>
      <c r="I602" s="36"/>
      <c r="J602" s="36">
        <v>0</v>
      </c>
      <c r="K602" s="33">
        <f>SUMIFS($J$2:J602,$C$2:C602,C602)</f>
        <v>0</v>
      </c>
    </row>
    <row r="603" spans="1:11" ht="50.1" hidden="1" customHeight="1">
      <c r="A603" s="17">
        <f t="shared" si="9"/>
        <v>51</v>
      </c>
      <c r="B603" s="14" t="s">
        <v>10</v>
      </c>
      <c r="C603" s="1" t="s">
        <v>166</v>
      </c>
      <c r="D603" s="1" t="s">
        <v>167</v>
      </c>
      <c r="E603" t="s">
        <v>168</v>
      </c>
      <c r="F603" t="s">
        <v>169</v>
      </c>
      <c r="G603" s="3" t="s">
        <v>176</v>
      </c>
      <c r="H603" s="2">
        <v>46054</v>
      </c>
      <c r="I603" s="36"/>
      <c r="J603" s="36">
        <v>0</v>
      </c>
      <c r="K603" s="33">
        <f>SUMIFS($J$2:J603,$C$2:C603,C603)</f>
        <v>0</v>
      </c>
    </row>
    <row r="604" spans="1:11" ht="50.1" hidden="1" customHeight="1">
      <c r="A604" s="17">
        <f t="shared" si="9"/>
        <v>51</v>
      </c>
      <c r="B604" s="14" t="s">
        <v>10</v>
      </c>
      <c r="C604" s="1" t="s">
        <v>166</v>
      </c>
      <c r="D604" s="1" t="s">
        <v>167</v>
      </c>
      <c r="E604" t="s">
        <v>168</v>
      </c>
      <c r="F604" t="s">
        <v>169</v>
      </c>
      <c r="G604" s="3" t="s">
        <v>176</v>
      </c>
      <c r="H604" s="2">
        <v>46082</v>
      </c>
      <c r="I604" s="36"/>
      <c r="J604" s="36">
        <v>0</v>
      </c>
      <c r="K604" s="33">
        <f>SUMIFS($J$2:J604,$C$2:C604,C604)</f>
        <v>0</v>
      </c>
    </row>
    <row r="605" spans="1:11" ht="50.1" hidden="1" customHeight="1">
      <c r="A605" s="17">
        <f t="shared" si="9"/>
        <v>51</v>
      </c>
      <c r="B605" s="14" t="s">
        <v>10</v>
      </c>
      <c r="C605" s="1" t="s">
        <v>166</v>
      </c>
      <c r="D605" s="1" t="s">
        <v>167</v>
      </c>
      <c r="E605" t="s">
        <v>168</v>
      </c>
      <c r="F605" t="s">
        <v>169</v>
      </c>
      <c r="G605" s="3" t="s">
        <v>176</v>
      </c>
      <c r="H605" s="2">
        <v>46113</v>
      </c>
      <c r="I605" s="36">
        <v>0.45</v>
      </c>
      <c r="J605" s="36">
        <v>0.45</v>
      </c>
      <c r="K605" s="33">
        <f>SUMIFS($J$2:J605,$C$2:C605,C605)</f>
        <v>0.45</v>
      </c>
    </row>
    <row r="606" spans="1:11" ht="50.1" hidden="1" customHeight="1">
      <c r="A606" s="17">
        <f t="shared" si="9"/>
        <v>51</v>
      </c>
      <c r="B606" s="14" t="s">
        <v>10</v>
      </c>
      <c r="C606" s="1" t="s">
        <v>166</v>
      </c>
      <c r="D606" s="1" t="s">
        <v>167</v>
      </c>
      <c r="E606" t="s">
        <v>168</v>
      </c>
      <c r="F606" t="s">
        <v>169</v>
      </c>
      <c r="G606" s="3" t="s">
        <v>176</v>
      </c>
      <c r="H606" s="2">
        <v>46143</v>
      </c>
      <c r="I606" s="36">
        <v>0.15</v>
      </c>
      <c r="J606" s="36">
        <v>0</v>
      </c>
      <c r="K606" s="33">
        <f>SUMIFS($J$2:J606,$C$2:C606,C606)</f>
        <v>0.45</v>
      </c>
    </row>
    <row r="607" spans="1:11" ht="50.1" hidden="1" customHeight="1">
      <c r="A607" s="17">
        <f t="shared" si="9"/>
        <v>51</v>
      </c>
      <c r="B607" s="14" t="s">
        <v>10</v>
      </c>
      <c r="C607" s="1" t="s">
        <v>166</v>
      </c>
      <c r="D607" s="1" t="s">
        <v>167</v>
      </c>
      <c r="E607" t="s">
        <v>168</v>
      </c>
      <c r="F607" t="s">
        <v>169</v>
      </c>
      <c r="G607" s="3" t="s">
        <v>176</v>
      </c>
      <c r="H607" s="2">
        <v>46174</v>
      </c>
      <c r="I607" s="36"/>
      <c r="J607" s="36">
        <v>0</v>
      </c>
      <c r="K607" s="33">
        <f>SUMIFS($J$2:J607,$C$2:C607,C607)</f>
        <v>0.45</v>
      </c>
    </row>
    <row r="608" spans="1:11" ht="50.1" hidden="1" customHeight="1">
      <c r="A608" s="17">
        <f t="shared" si="9"/>
        <v>51</v>
      </c>
      <c r="B608" s="14" t="s">
        <v>10</v>
      </c>
      <c r="C608" s="1" t="s">
        <v>166</v>
      </c>
      <c r="D608" s="1" t="s">
        <v>167</v>
      </c>
      <c r="E608" t="s">
        <v>168</v>
      </c>
      <c r="F608" t="s">
        <v>169</v>
      </c>
      <c r="G608" s="3" t="s">
        <v>176</v>
      </c>
      <c r="H608" s="2">
        <v>46204</v>
      </c>
      <c r="I608" s="36"/>
      <c r="J608" s="36">
        <v>0</v>
      </c>
      <c r="K608" s="33">
        <f>SUMIFS($J$2:J608,$C$2:C608,C608)</f>
        <v>0.45</v>
      </c>
    </row>
    <row r="609" spans="1:11" ht="50.1" hidden="1" customHeight="1">
      <c r="A609" s="17">
        <f t="shared" si="9"/>
        <v>51</v>
      </c>
      <c r="B609" s="14" t="s">
        <v>10</v>
      </c>
      <c r="C609" s="1" t="s">
        <v>166</v>
      </c>
      <c r="D609" s="1" t="s">
        <v>167</v>
      </c>
      <c r="E609" t="s">
        <v>168</v>
      </c>
      <c r="F609" t="s">
        <v>169</v>
      </c>
      <c r="G609" s="3" t="s">
        <v>176</v>
      </c>
      <c r="H609" s="2">
        <v>46235</v>
      </c>
      <c r="I609" s="36"/>
      <c r="J609" s="36">
        <v>0</v>
      </c>
      <c r="K609" s="33">
        <f>SUMIFS($J$2:J609,$C$2:C609,C609)</f>
        <v>0.45</v>
      </c>
    </row>
    <row r="610" spans="1:11" ht="50.1" hidden="1" customHeight="1">
      <c r="A610" s="17">
        <f t="shared" si="9"/>
        <v>51</v>
      </c>
      <c r="B610" s="14" t="s">
        <v>10</v>
      </c>
      <c r="C610" s="1" t="s">
        <v>166</v>
      </c>
      <c r="D610" s="1" t="s">
        <v>167</v>
      </c>
      <c r="E610" t="s">
        <v>168</v>
      </c>
      <c r="F610" t="s">
        <v>169</v>
      </c>
      <c r="G610" s="3" t="s">
        <v>176</v>
      </c>
      <c r="H610" s="2">
        <v>46266</v>
      </c>
      <c r="I610" s="36"/>
      <c r="J610" s="36">
        <v>0</v>
      </c>
      <c r="K610" s="33">
        <f>SUMIFS($J$2:J610,$C$2:C610,C610)</f>
        <v>0.45</v>
      </c>
    </row>
    <row r="611" spans="1:11" ht="50.1" hidden="1" customHeight="1">
      <c r="A611" s="17">
        <f t="shared" si="9"/>
        <v>51</v>
      </c>
      <c r="B611" s="14" t="s">
        <v>10</v>
      </c>
      <c r="C611" s="1" t="s">
        <v>166</v>
      </c>
      <c r="D611" s="1" t="s">
        <v>167</v>
      </c>
      <c r="E611" t="s">
        <v>168</v>
      </c>
      <c r="F611" t="s">
        <v>169</v>
      </c>
      <c r="G611" s="3" t="s">
        <v>176</v>
      </c>
      <c r="H611" s="2">
        <v>46296</v>
      </c>
      <c r="I611" s="36"/>
      <c r="J611" s="36">
        <v>0</v>
      </c>
      <c r="K611" s="33">
        <f>SUMIFS($J$2:J611,$C$2:C611,C611)</f>
        <v>0.45</v>
      </c>
    </row>
    <row r="612" spans="1:11" ht="50.1" hidden="1" customHeight="1">
      <c r="A612" s="17">
        <f t="shared" si="9"/>
        <v>51</v>
      </c>
      <c r="B612" s="14" t="s">
        <v>10</v>
      </c>
      <c r="C612" s="1" t="s">
        <v>166</v>
      </c>
      <c r="D612" s="1" t="s">
        <v>167</v>
      </c>
      <c r="E612" t="s">
        <v>168</v>
      </c>
      <c r="F612" t="s">
        <v>169</v>
      </c>
      <c r="G612" s="3" t="s">
        <v>176</v>
      </c>
      <c r="H612" s="2">
        <v>46327</v>
      </c>
      <c r="I612" s="36"/>
      <c r="J612" s="36">
        <v>0</v>
      </c>
      <c r="K612" s="33">
        <f>SUMIFS($J$2:J612,$C$2:C612,C612)</f>
        <v>0.45</v>
      </c>
    </row>
    <row r="613" spans="1:11" ht="50.1" hidden="1" customHeight="1">
      <c r="A613" s="17">
        <f t="shared" si="9"/>
        <v>51</v>
      </c>
      <c r="B613" s="14" t="s">
        <v>10</v>
      </c>
      <c r="C613" s="1" t="s">
        <v>166</v>
      </c>
      <c r="D613" s="1" t="s">
        <v>167</v>
      </c>
      <c r="E613" t="s">
        <v>168</v>
      </c>
      <c r="F613" t="s">
        <v>169</v>
      </c>
      <c r="G613" s="3" t="s">
        <v>176</v>
      </c>
      <c r="H613" s="2">
        <v>46357</v>
      </c>
      <c r="I613" s="36">
        <v>0.4</v>
      </c>
      <c r="J613" s="36">
        <v>0</v>
      </c>
      <c r="K613" s="33">
        <f>SUMIFS($J$2:J613,$C$2:C613,C613)</f>
        <v>0.45</v>
      </c>
    </row>
    <row r="614" spans="1:11" ht="50.1" hidden="1" customHeight="1">
      <c r="A614" s="17">
        <f t="shared" si="9"/>
        <v>52</v>
      </c>
      <c r="B614" s="14" t="s">
        <v>10</v>
      </c>
      <c r="C614" s="1" t="s">
        <v>170</v>
      </c>
      <c r="D614" s="1" t="s">
        <v>171</v>
      </c>
      <c r="E614" t="s">
        <v>15</v>
      </c>
      <c r="F614" t="s">
        <v>172</v>
      </c>
      <c r="G614" s="3" t="s">
        <v>176</v>
      </c>
      <c r="H614" s="2">
        <v>46023</v>
      </c>
      <c r="I614" s="36"/>
      <c r="J614" s="36">
        <v>0</v>
      </c>
      <c r="K614" s="33">
        <f>SUMIFS($J$2:J614,$C$2:C614,C614)</f>
        <v>0</v>
      </c>
    </row>
    <row r="615" spans="1:11" ht="50.1" hidden="1" customHeight="1">
      <c r="A615" s="17">
        <f t="shared" si="9"/>
        <v>52</v>
      </c>
      <c r="B615" s="14" t="s">
        <v>10</v>
      </c>
      <c r="C615" s="1" t="s">
        <v>170</v>
      </c>
      <c r="D615" s="1" t="s">
        <v>171</v>
      </c>
      <c r="E615" t="s">
        <v>15</v>
      </c>
      <c r="F615" t="s">
        <v>172</v>
      </c>
      <c r="G615" s="3" t="s">
        <v>176</v>
      </c>
      <c r="H615" s="2">
        <v>46054</v>
      </c>
      <c r="I615" s="36"/>
      <c r="J615" s="36">
        <v>0</v>
      </c>
      <c r="K615" s="33">
        <f>SUMIFS($J$2:J615,$C$2:C615,C615)</f>
        <v>0</v>
      </c>
    </row>
    <row r="616" spans="1:11" ht="50.1" hidden="1" customHeight="1">
      <c r="A616" s="17">
        <f t="shared" si="9"/>
        <v>52</v>
      </c>
      <c r="B616" s="14" t="s">
        <v>10</v>
      </c>
      <c r="C616" s="1" t="s">
        <v>170</v>
      </c>
      <c r="D616" s="1" t="s">
        <v>171</v>
      </c>
      <c r="E616" t="s">
        <v>15</v>
      </c>
      <c r="F616" t="s">
        <v>172</v>
      </c>
      <c r="G616" s="3" t="s">
        <v>176</v>
      </c>
      <c r="H616" s="2">
        <v>46082</v>
      </c>
      <c r="I616" s="36"/>
      <c r="J616" s="36">
        <v>0</v>
      </c>
      <c r="K616" s="33">
        <f>SUMIFS($J$2:J616,$C$2:C616,C616)</f>
        <v>0</v>
      </c>
    </row>
    <row r="617" spans="1:11" ht="50.1" hidden="1" customHeight="1">
      <c r="A617" s="17">
        <f t="shared" si="9"/>
        <v>52</v>
      </c>
      <c r="B617" s="14" t="s">
        <v>10</v>
      </c>
      <c r="C617" s="1" t="s">
        <v>170</v>
      </c>
      <c r="D617" s="1" t="s">
        <v>171</v>
      </c>
      <c r="E617" t="s">
        <v>15</v>
      </c>
      <c r="F617" t="s">
        <v>172</v>
      </c>
      <c r="G617" s="3" t="s">
        <v>176</v>
      </c>
      <c r="H617" s="2">
        <v>46113</v>
      </c>
      <c r="I617" s="36">
        <v>0.15</v>
      </c>
      <c r="J617" s="36">
        <v>0.15</v>
      </c>
      <c r="K617" s="33">
        <f>SUMIFS($J$2:J617,$C$2:C617,C617)</f>
        <v>0.15</v>
      </c>
    </row>
    <row r="618" spans="1:11" ht="50.1" hidden="1" customHeight="1">
      <c r="A618" s="17">
        <f t="shared" si="9"/>
        <v>52</v>
      </c>
      <c r="B618" s="14" t="s">
        <v>10</v>
      </c>
      <c r="C618" s="1" t="s">
        <v>170</v>
      </c>
      <c r="D618" s="1" t="s">
        <v>171</v>
      </c>
      <c r="E618" t="s">
        <v>15</v>
      </c>
      <c r="F618" t="s">
        <v>172</v>
      </c>
      <c r="G618" s="3" t="s">
        <v>176</v>
      </c>
      <c r="H618" s="2">
        <v>46143</v>
      </c>
      <c r="I618" s="36">
        <v>0.15</v>
      </c>
      <c r="J618" s="36">
        <v>0</v>
      </c>
      <c r="K618" s="33">
        <f>SUMIFS($J$2:J618,$C$2:C618,C618)</f>
        <v>0.15</v>
      </c>
    </row>
    <row r="619" spans="1:11" ht="50.1" hidden="1" customHeight="1">
      <c r="A619" s="17">
        <f t="shared" si="9"/>
        <v>52</v>
      </c>
      <c r="B619" s="14" t="s">
        <v>10</v>
      </c>
      <c r="C619" s="1" t="s">
        <v>170</v>
      </c>
      <c r="D619" s="1" t="s">
        <v>171</v>
      </c>
      <c r="E619" t="s">
        <v>15</v>
      </c>
      <c r="F619" t="s">
        <v>172</v>
      </c>
      <c r="G619" s="3" t="s">
        <v>176</v>
      </c>
      <c r="H619" s="2">
        <v>46174</v>
      </c>
      <c r="I619" s="36">
        <v>0.3</v>
      </c>
      <c r="J619" s="36">
        <v>0</v>
      </c>
      <c r="K619" s="33">
        <f>SUMIFS($J$2:J619,$C$2:C619,C619)</f>
        <v>0.15</v>
      </c>
    </row>
    <row r="620" spans="1:11" ht="50.1" hidden="1" customHeight="1">
      <c r="A620" s="17">
        <f t="shared" si="9"/>
        <v>52</v>
      </c>
      <c r="B620" s="14" t="s">
        <v>10</v>
      </c>
      <c r="C620" s="1" t="s">
        <v>170</v>
      </c>
      <c r="D620" s="1" t="s">
        <v>171</v>
      </c>
      <c r="E620" t="s">
        <v>15</v>
      </c>
      <c r="F620" t="s">
        <v>172</v>
      </c>
      <c r="G620" s="3" t="s">
        <v>176</v>
      </c>
      <c r="H620" s="2">
        <v>46204</v>
      </c>
      <c r="I620" s="36"/>
      <c r="J620" s="36">
        <v>0</v>
      </c>
      <c r="K620" s="33">
        <f>SUMIFS($J$2:J620,$C$2:C620,C620)</f>
        <v>0.15</v>
      </c>
    </row>
    <row r="621" spans="1:11" ht="50.1" hidden="1" customHeight="1">
      <c r="A621" s="17">
        <f t="shared" si="9"/>
        <v>52</v>
      </c>
      <c r="B621" s="14" t="s">
        <v>10</v>
      </c>
      <c r="C621" s="1" t="s">
        <v>170</v>
      </c>
      <c r="D621" s="1" t="s">
        <v>171</v>
      </c>
      <c r="E621" t="s">
        <v>15</v>
      </c>
      <c r="F621" t="s">
        <v>172</v>
      </c>
      <c r="G621" s="3" t="s">
        <v>176</v>
      </c>
      <c r="H621" s="2">
        <v>46235</v>
      </c>
      <c r="I621" s="36"/>
      <c r="J621" s="36">
        <v>0</v>
      </c>
      <c r="K621" s="33">
        <f>SUMIFS($J$2:J621,$C$2:C621,C621)</f>
        <v>0.15</v>
      </c>
    </row>
    <row r="622" spans="1:11" ht="50.1" hidden="1" customHeight="1">
      <c r="A622" s="17">
        <f t="shared" si="9"/>
        <v>52</v>
      </c>
      <c r="B622" s="14" t="s">
        <v>10</v>
      </c>
      <c r="C622" s="1" t="s">
        <v>170</v>
      </c>
      <c r="D622" s="1" t="s">
        <v>171</v>
      </c>
      <c r="E622" t="s">
        <v>15</v>
      </c>
      <c r="F622" t="s">
        <v>172</v>
      </c>
      <c r="G622" s="3" t="s">
        <v>176</v>
      </c>
      <c r="H622" s="2">
        <v>46266</v>
      </c>
      <c r="I622" s="36"/>
      <c r="J622" s="36">
        <v>0</v>
      </c>
      <c r="K622" s="33">
        <f>SUMIFS($J$2:J622,$C$2:C622,C622)</f>
        <v>0.15</v>
      </c>
    </row>
    <row r="623" spans="1:11" ht="50.1" hidden="1" customHeight="1">
      <c r="A623" s="17">
        <f t="shared" si="9"/>
        <v>52</v>
      </c>
      <c r="B623" s="14" t="s">
        <v>10</v>
      </c>
      <c r="C623" s="1" t="s">
        <v>170</v>
      </c>
      <c r="D623" s="1" t="s">
        <v>171</v>
      </c>
      <c r="E623" t="s">
        <v>15</v>
      </c>
      <c r="F623" t="s">
        <v>172</v>
      </c>
      <c r="G623" s="3" t="s">
        <v>176</v>
      </c>
      <c r="H623" s="2">
        <v>46296</v>
      </c>
      <c r="I623" s="36"/>
      <c r="J623" s="36">
        <v>0</v>
      </c>
      <c r="K623" s="33">
        <f>SUMIFS($J$2:J623,$C$2:C623,C623)</f>
        <v>0.15</v>
      </c>
    </row>
    <row r="624" spans="1:11" ht="50.1" hidden="1" customHeight="1">
      <c r="A624" s="17">
        <f t="shared" si="9"/>
        <v>52</v>
      </c>
      <c r="B624" s="14" t="s">
        <v>10</v>
      </c>
      <c r="C624" s="1" t="s">
        <v>170</v>
      </c>
      <c r="D624" s="1" t="s">
        <v>171</v>
      </c>
      <c r="E624" t="s">
        <v>15</v>
      </c>
      <c r="F624" t="s">
        <v>172</v>
      </c>
      <c r="G624" s="3" t="s">
        <v>176</v>
      </c>
      <c r="H624" s="2">
        <v>46327</v>
      </c>
      <c r="I624" s="36"/>
      <c r="J624" s="36">
        <v>0</v>
      </c>
      <c r="K624" s="33">
        <f>SUMIFS($J$2:J624,$C$2:C624,C624)</f>
        <v>0.15</v>
      </c>
    </row>
    <row r="625" spans="1:11" ht="50.1" hidden="1" customHeight="1">
      <c r="A625" s="17">
        <f t="shared" si="9"/>
        <v>52</v>
      </c>
      <c r="B625" s="14" t="s">
        <v>10</v>
      </c>
      <c r="C625" s="1" t="s">
        <v>170</v>
      </c>
      <c r="D625" s="1" t="s">
        <v>171</v>
      </c>
      <c r="E625" t="s">
        <v>15</v>
      </c>
      <c r="F625" t="s">
        <v>172</v>
      </c>
      <c r="G625" s="3" t="s">
        <v>176</v>
      </c>
      <c r="H625" s="2">
        <v>46357</v>
      </c>
      <c r="I625" s="36">
        <v>0.4</v>
      </c>
      <c r="J625" s="36">
        <v>0</v>
      </c>
      <c r="K625" s="33">
        <f>SUMIFS($J$2:J625,$C$2:C625,C625)</f>
        <v>0.15</v>
      </c>
    </row>
    <row r="626" spans="1:11" ht="50.1" hidden="1" customHeight="1">
      <c r="A626" s="17">
        <f t="shared" si="9"/>
        <v>53</v>
      </c>
      <c r="B626" s="14" t="s">
        <v>10</v>
      </c>
      <c r="C626" s="1" t="s">
        <v>173</v>
      </c>
      <c r="D626" s="1" t="s">
        <v>174</v>
      </c>
      <c r="E626" t="s">
        <v>15</v>
      </c>
      <c r="F626" t="s">
        <v>175</v>
      </c>
      <c r="G626" s="3" t="s">
        <v>176</v>
      </c>
      <c r="H626" s="2">
        <v>46023</v>
      </c>
      <c r="I626" s="36"/>
      <c r="J626" s="36">
        <v>0</v>
      </c>
      <c r="K626" s="33">
        <f>SUMIFS($J$2:J626,$C$2:C626,C626)</f>
        <v>0</v>
      </c>
    </row>
    <row r="627" spans="1:11" ht="50.1" hidden="1" customHeight="1">
      <c r="A627" s="17">
        <f t="shared" si="9"/>
        <v>53</v>
      </c>
      <c r="B627" s="14" t="s">
        <v>10</v>
      </c>
      <c r="C627" s="1" t="s">
        <v>173</v>
      </c>
      <c r="D627" s="1" t="s">
        <v>174</v>
      </c>
      <c r="E627" t="s">
        <v>15</v>
      </c>
      <c r="F627" t="s">
        <v>175</v>
      </c>
      <c r="G627" s="3" t="s">
        <v>176</v>
      </c>
      <c r="H627" s="2">
        <v>46054</v>
      </c>
      <c r="I627" s="36"/>
      <c r="J627" s="36">
        <v>0</v>
      </c>
      <c r="K627" s="33">
        <f>SUMIFS($J$2:J627,$C$2:C627,C627)</f>
        <v>0</v>
      </c>
    </row>
    <row r="628" spans="1:11" ht="50.1" hidden="1" customHeight="1">
      <c r="A628" s="17">
        <f t="shared" si="9"/>
        <v>53</v>
      </c>
      <c r="B628" s="14" t="s">
        <v>10</v>
      </c>
      <c r="C628" s="1" t="s">
        <v>173</v>
      </c>
      <c r="D628" s="1" t="s">
        <v>174</v>
      </c>
      <c r="E628" t="s">
        <v>15</v>
      </c>
      <c r="F628" t="s">
        <v>175</v>
      </c>
      <c r="G628" s="3" t="s">
        <v>176</v>
      </c>
      <c r="H628" s="2">
        <v>46082</v>
      </c>
      <c r="I628" s="36"/>
      <c r="J628" s="36">
        <v>0</v>
      </c>
      <c r="K628" s="33">
        <f>SUMIFS($J$2:J628,$C$2:C628,C628)</f>
        <v>0</v>
      </c>
    </row>
    <row r="629" spans="1:11" ht="50.1" hidden="1" customHeight="1">
      <c r="A629" s="17">
        <f t="shared" si="9"/>
        <v>53</v>
      </c>
      <c r="B629" s="14" t="s">
        <v>10</v>
      </c>
      <c r="C629" s="1" t="s">
        <v>173</v>
      </c>
      <c r="D629" s="1" t="s">
        <v>174</v>
      </c>
      <c r="E629" t="s">
        <v>15</v>
      </c>
      <c r="F629" t="s">
        <v>175</v>
      </c>
      <c r="G629" s="3" t="s">
        <v>176</v>
      </c>
      <c r="H629" s="2">
        <v>46113</v>
      </c>
      <c r="I629" s="36">
        <v>0.15</v>
      </c>
      <c r="J629" s="36">
        <v>0.15</v>
      </c>
      <c r="K629" s="33">
        <f>SUMIFS($J$2:J629,$C$2:C629,C629)</f>
        <v>0.15</v>
      </c>
    </row>
    <row r="630" spans="1:11" ht="50.1" hidden="1" customHeight="1">
      <c r="A630" s="17">
        <f t="shared" si="9"/>
        <v>53</v>
      </c>
      <c r="B630" s="14" t="s">
        <v>10</v>
      </c>
      <c r="C630" s="1" t="s">
        <v>173</v>
      </c>
      <c r="D630" s="1" t="s">
        <v>174</v>
      </c>
      <c r="E630" t="s">
        <v>15</v>
      </c>
      <c r="F630" t="s">
        <v>175</v>
      </c>
      <c r="G630" s="3" t="s">
        <v>176</v>
      </c>
      <c r="H630" s="2">
        <v>46143</v>
      </c>
      <c r="I630" s="36">
        <v>0.15</v>
      </c>
      <c r="J630" s="36">
        <v>0</v>
      </c>
      <c r="K630" s="33">
        <f>SUMIFS($J$2:J630,$C$2:C630,C630)</f>
        <v>0.15</v>
      </c>
    </row>
    <row r="631" spans="1:11" ht="50.1" hidden="1" customHeight="1">
      <c r="A631" s="17">
        <f t="shared" si="9"/>
        <v>53</v>
      </c>
      <c r="B631" s="14" t="s">
        <v>10</v>
      </c>
      <c r="C631" s="1" t="s">
        <v>173</v>
      </c>
      <c r="D631" s="1" t="s">
        <v>174</v>
      </c>
      <c r="E631" t="s">
        <v>15</v>
      </c>
      <c r="F631" t="s">
        <v>175</v>
      </c>
      <c r="G631" s="3" t="s">
        <v>176</v>
      </c>
      <c r="H631" s="2">
        <v>46174</v>
      </c>
      <c r="I631" s="36">
        <v>0.3</v>
      </c>
      <c r="J631" s="36">
        <v>0</v>
      </c>
      <c r="K631" s="33">
        <f>SUMIFS($J$2:J631,$C$2:C631,C631)</f>
        <v>0.15</v>
      </c>
    </row>
    <row r="632" spans="1:11" ht="50.1" hidden="1" customHeight="1">
      <c r="A632" s="17">
        <f t="shared" si="9"/>
        <v>53</v>
      </c>
      <c r="B632" s="14" t="s">
        <v>10</v>
      </c>
      <c r="C632" s="1" t="s">
        <v>173</v>
      </c>
      <c r="D632" s="1" t="s">
        <v>174</v>
      </c>
      <c r="E632" t="s">
        <v>15</v>
      </c>
      <c r="F632" t="s">
        <v>175</v>
      </c>
      <c r="G632" s="3" t="s">
        <v>176</v>
      </c>
      <c r="H632" s="2">
        <v>46204</v>
      </c>
      <c r="I632" s="36"/>
      <c r="J632" s="36">
        <v>0</v>
      </c>
      <c r="K632" s="33">
        <f>SUMIFS($J$2:J632,$C$2:C632,C632)</f>
        <v>0.15</v>
      </c>
    </row>
    <row r="633" spans="1:11" ht="50.1" hidden="1" customHeight="1">
      <c r="A633" s="17">
        <f t="shared" si="9"/>
        <v>53</v>
      </c>
      <c r="B633" s="14" t="s">
        <v>10</v>
      </c>
      <c r="C633" s="1" t="s">
        <v>173</v>
      </c>
      <c r="D633" s="1" t="s">
        <v>174</v>
      </c>
      <c r="E633" t="s">
        <v>15</v>
      </c>
      <c r="F633" t="s">
        <v>175</v>
      </c>
      <c r="G633" s="3" t="s">
        <v>176</v>
      </c>
      <c r="H633" s="2">
        <v>46235</v>
      </c>
      <c r="I633" s="36"/>
      <c r="J633" s="36">
        <v>0</v>
      </c>
      <c r="K633" s="33">
        <f>SUMIFS($J$2:J633,$C$2:C633,C633)</f>
        <v>0.15</v>
      </c>
    </row>
    <row r="634" spans="1:11" ht="50.1" hidden="1" customHeight="1">
      <c r="A634" s="17">
        <f t="shared" si="9"/>
        <v>53</v>
      </c>
      <c r="B634" s="14" t="s">
        <v>10</v>
      </c>
      <c r="C634" s="1" t="s">
        <v>173</v>
      </c>
      <c r="D634" s="1" t="s">
        <v>174</v>
      </c>
      <c r="E634" t="s">
        <v>15</v>
      </c>
      <c r="F634" t="s">
        <v>175</v>
      </c>
      <c r="G634" s="3" t="s">
        <v>176</v>
      </c>
      <c r="H634" s="2">
        <v>46266</v>
      </c>
      <c r="I634" s="36"/>
      <c r="J634" s="36">
        <v>0</v>
      </c>
      <c r="K634" s="33">
        <f>SUMIFS($J$2:J634,$C$2:C634,C634)</f>
        <v>0.15</v>
      </c>
    </row>
    <row r="635" spans="1:11" ht="50.1" hidden="1" customHeight="1">
      <c r="A635" s="17">
        <f t="shared" si="9"/>
        <v>53</v>
      </c>
      <c r="B635" s="14" t="s">
        <v>10</v>
      </c>
      <c r="C635" s="1" t="s">
        <v>173</v>
      </c>
      <c r="D635" s="1" t="s">
        <v>174</v>
      </c>
      <c r="E635" t="s">
        <v>15</v>
      </c>
      <c r="F635" t="s">
        <v>175</v>
      </c>
      <c r="G635" s="3" t="s">
        <v>176</v>
      </c>
      <c r="H635" s="2">
        <v>46296</v>
      </c>
      <c r="I635" s="36"/>
      <c r="J635" s="36">
        <v>0</v>
      </c>
      <c r="K635" s="33">
        <f>SUMIFS($J$2:J635,$C$2:C635,C635)</f>
        <v>0.15</v>
      </c>
    </row>
    <row r="636" spans="1:11" ht="50.1" hidden="1" customHeight="1">
      <c r="A636" s="17">
        <f t="shared" si="9"/>
        <v>53</v>
      </c>
      <c r="B636" s="15" t="s">
        <v>10</v>
      </c>
      <c r="C636" s="1" t="s">
        <v>173</v>
      </c>
      <c r="D636" s="1" t="s">
        <v>174</v>
      </c>
      <c r="E636" t="s">
        <v>15</v>
      </c>
      <c r="F636" t="s">
        <v>175</v>
      </c>
      <c r="G636" s="3" t="s">
        <v>176</v>
      </c>
      <c r="H636" s="2">
        <v>46327</v>
      </c>
      <c r="I636" s="36"/>
      <c r="J636" s="36">
        <v>0</v>
      </c>
      <c r="K636" s="33">
        <f>SUMIFS($J$2:J636,$C$2:C636,C636)</f>
        <v>0.15</v>
      </c>
    </row>
    <row r="637" spans="1:11" ht="50.1" hidden="1" customHeight="1">
      <c r="A637" s="18">
        <f t="shared" si="9"/>
        <v>53</v>
      </c>
      <c r="B637" s="8" t="s">
        <v>10</v>
      </c>
      <c r="C637" s="9" t="s">
        <v>173</v>
      </c>
      <c r="D637" s="9" t="s">
        <v>174</v>
      </c>
      <c r="E637" s="10" t="s">
        <v>15</v>
      </c>
      <c r="F637" s="10" t="s">
        <v>175</v>
      </c>
      <c r="G637" s="11" t="s">
        <v>176</v>
      </c>
      <c r="H637" s="12">
        <v>46357</v>
      </c>
      <c r="I637" s="34">
        <v>0.4</v>
      </c>
      <c r="J637" s="36">
        <v>0</v>
      </c>
      <c r="K637" s="33">
        <f>SUMIFS($J$2:J637,$C$2:C637,C637)</f>
        <v>0.15</v>
      </c>
    </row>
  </sheetData>
  <autoFilter ref="A1:K637">
    <filterColumn colId="3">
      <filters>
        <filter val="Cumprimento ao SLA de Incidentes de TI (%): BI"/>
        <filter val="Cumprimento ao SLA de Incidentes de TI (%): Infraestrutura de TI/Datacenter"/>
        <filter val="Cumprimento ao SLA de Incidentes de TI (%): Infraestrutura de TI/Redes"/>
        <filter val="Cumprimento ao SLA de Incidentes de TI (%): Infraestrutura de TI/Serviços (Estação de Trabalho)"/>
        <filter val="Cumprimento ao SLA de Incidentes de TI (%): Sistemas de Finanças &amp; Planejamento"/>
        <filter val="Cumprimento ao SLA de Incidentes de TI (%): Sistemas de Operações &amp; Engenharia"/>
        <filter val="Cumprimento ao SLA de Incidentes de TI (%): Sistemas do Comercial &amp; Inovação"/>
        <filter val="Cumprimento ao SLA de Incidentes de TI (%): Sistemas do Comercial (Relacionamento e Arrecadação)"/>
        <filter val="Cumprimento ao SLA de Incidentes de TI (%): Sistemas do Suprimentos &amp; Apoio"/>
        <filter val="Cumprimento ao SLA de Satisfação TI (%): Cybersegurança"/>
        <filter val="Cumprimento ao SLA de Satisfação TI (%): Infraestrutura de TI/Datacenter"/>
        <filter val="Cumprimento ao SLA de Satisfação TI (%): Infraestrutura de TI/Redes"/>
        <filter val="Cumprimento ao SLA de Satisfação TI (%): Infraestrutura de TI/Serviços (Estação de Trabalho)"/>
      </filters>
    </filterColumn>
  </autoFilter>
  <conditionalFormatting sqref="G1:G1048576">
    <cfRule type="containsText" dxfId="46" priority="3" operator="containsText" text="J">
      <formula>NOT(ISERROR(SEARCH("J",G1)))</formula>
    </cfRule>
  </conditionalFormatting>
  <conditionalFormatting sqref="G2:G637">
    <cfRule type="containsText" dxfId="45" priority="2" operator="containsText" text="L">
      <formula>NOT(ISERROR(SEARCH("L",G2)))</formula>
    </cfRule>
  </conditionalFormatting>
  <conditionalFormatting sqref="A1:K637">
    <cfRule type="expression" dxfId="44" priority="1">
      <formula>MOD(ROW()-2,12)=11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72"/>
  <sheetViews>
    <sheetView workbookViewId="0">
      <pane xSplit="17" ySplit="2" topLeftCell="R3" activePane="bottomRight" state="frozen"/>
      <selection pane="topRight" activeCell="R1" sqref="R1"/>
      <selection pane="bottomLeft" activeCell="A3" sqref="A3"/>
      <selection pane="bottomRight" activeCell="G3" sqref="G3"/>
    </sheetView>
  </sheetViews>
  <sheetFormatPr defaultRowHeight="15"/>
  <cols>
    <col min="1" max="1" width="11.85546875" customWidth="1"/>
    <col min="2" max="2" width="57.140625" customWidth="1"/>
    <col min="3" max="3" width="17.85546875" customWidth="1"/>
    <col min="4" max="4" width="18" customWidth="1"/>
    <col min="5" max="6" width="11.42578125" customWidth="1"/>
    <col min="7" max="7" width="9" customWidth="1"/>
    <col min="8" max="8" width="3.85546875" customWidth="1"/>
    <col min="9" max="9" width="4.42578125" customWidth="1"/>
    <col min="10" max="10" width="3.85546875" customWidth="1"/>
    <col min="11" max="11" width="4.28515625" customWidth="1"/>
    <col min="12" max="12" width="3.85546875" customWidth="1"/>
    <col min="13" max="13" width="3.28515625" customWidth="1"/>
    <col min="14" max="14" width="4.140625" customWidth="1"/>
    <col min="15" max="15" width="3.7109375" customWidth="1"/>
    <col min="16" max="16" width="4" customWidth="1"/>
    <col min="17" max="17" width="4.28515625" customWidth="1"/>
    <col min="18" max="18" width="4.140625" customWidth="1"/>
    <col min="19" max="437" width="255.7109375" bestFit="1" customWidth="1"/>
  </cols>
  <sheetData>
    <row r="1" spans="1:18" ht="24.95" customHeight="1">
      <c r="A1" s="19"/>
      <c r="B1" s="20"/>
      <c r="C1" s="20"/>
      <c r="D1" s="20"/>
      <c r="E1" s="20"/>
      <c r="F1" s="20"/>
      <c r="G1" s="21" t="s">
        <v>191</v>
      </c>
      <c r="H1" s="20"/>
      <c r="I1" s="20"/>
      <c r="J1" s="20"/>
      <c r="K1" s="20"/>
      <c r="L1" s="20"/>
      <c r="M1" s="20"/>
      <c r="N1" s="20"/>
      <c r="O1" s="20"/>
      <c r="P1" s="20"/>
      <c r="Q1" s="20"/>
      <c r="R1" s="22"/>
    </row>
    <row r="2" spans="1:18" ht="24.95" customHeight="1">
      <c r="A2" s="23" t="s">
        <v>1</v>
      </c>
      <c r="B2" s="24" t="s">
        <v>2</v>
      </c>
      <c r="C2" s="24" t="s">
        <v>4</v>
      </c>
      <c r="D2" s="24" t="s">
        <v>3</v>
      </c>
      <c r="E2" s="24" t="s">
        <v>5</v>
      </c>
      <c r="F2" s="24" t="s">
        <v>197</v>
      </c>
      <c r="G2" s="25" t="s">
        <v>179</v>
      </c>
      <c r="H2" s="25" t="s">
        <v>180</v>
      </c>
      <c r="I2" s="25" t="s">
        <v>181</v>
      </c>
      <c r="J2" s="25" t="s">
        <v>182</v>
      </c>
      <c r="K2" s="25" t="s">
        <v>183</v>
      </c>
      <c r="L2" s="25" t="s">
        <v>184</v>
      </c>
      <c r="M2" s="25" t="s">
        <v>185</v>
      </c>
      <c r="N2" s="25" t="s">
        <v>186</v>
      </c>
      <c r="O2" s="25" t="s">
        <v>187</v>
      </c>
      <c r="P2" s="25" t="s">
        <v>188</v>
      </c>
      <c r="Q2" s="25" t="s">
        <v>189</v>
      </c>
      <c r="R2" s="26" t="s">
        <v>190</v>
      </c>
    </row>
    <row r="3" spans="1:18" ht="50.1" customHeight="1">
      <c r="A3" s="27">
        <v>12</v>
      </c>
      <c r="B3" s="29" t="s">
        <v>52</v>
      </c>
      <c r="C3" s="29" t="s">
        <v>53</v>
      </c>
      <c r="D3" s="29" t="s">
        <v>198</v>
      </c>
      <c r="E3" s="37" t="s">
        <v>176</v>
      </c>
      <c r="F3" s="30" t="s">
        <v>192</v>
      </c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3"/>
    </row>
    <row r="4" spans="1:18" ht="50.1" customHeight="1">
      <c r="A4" s="27"/>
      <c r="B4" s="29"/>
      <c r="C4" s="29"/>
      <c r="D4" s="29"/>
      <c r="E4" s="37"/>
      <c r="F4" s="30" t="s">
        <v>193</v>
      </c>
      <c r="G4" s="32">
        <v>0</v>
      </c>
      <c r="H4" s="32">
        <v>0</v>
      </c>
      <c r="I4" s="32">
        <v>0</v>
      </c>
      <c r="J4" s="32">
        <v>0</v>
      </c>
      <c r="K4" s="32">
        <v>0</v>
      </c>
      <c r="L4" s="32">
        <v>0</v>
      </c>
      <c r="M4" s="32">
        <v>0</v>
      </c>
      <c r="N4" s="32">
        <v>0</v>
      </c>
      <c r="O4" s="32">
        <v>0</v>
      </c>
      <c r="P4" s="32">
        <v>0</v>
      </c>
      <c r="Q4" s="32">
        <v>0</v>
      </c>
      <c r="R4" s="33">
        <v>0</v>
      </c>
    </row>
    <row r="5" spans="1:18" ht="50.1" customHeight="1">
      <c r="A5" s="27"/>
      <c r="B5" s="29"/>
      <c r="C5" s="29"/>
      <c r="D5" s="29"/>
      <c r="E5" s="37"/>
      <c r="F5" s="30" t="s">
        <v>194</v>
      </c>
      <c r="G5" s="32">
        <v>0</v>
      </c>
      <c r="H5" s="32">
        <v>0</v>
      </c>
      <c r="I5" s="32">
        <v>0</v>
      </c>
      <c r="J5" s="32">
        <v>0</v>
      </c>
      <c r="K5" s="32">
        <v>0</v>
      </c>
      <c r="L5" s="32">
        <v>0</v>
      </c>
      <c r="M5" s="32">
        <v>0</v>
      </c>
      <c r="N5" s="32">
        <v>0</v>
      </c>
      <c r="O5" s="32">
        <v>0</v>
      </c>
      <c r="P5" s="32">
        <v>0</v>
      </c>
      <c r="Q5" s="32">
        <v>0</v>
      </c>
      <c r="R5" s="33">
        <v>0</v>
      </c>
    </row>
    <row r="6" spans="1:18" ht="50.1" customHeight="1">
      <c r="A6" s="27">
        <v>18</v>
      </c>
      <c r="B6" s="29" t="s">
        <v>195</v>
      </c>
      <c r="C6" s="29" t="s">
        <v>69</v>
      </c>
      <c r="D6" s="29" t="s">
        <v>198</v>
      </c>
      <c r="E6" s="37" t="s">
        <v>176</v>
      </c>
      <c r="F6" s="30" t="s">
        <v>192</v>
      </c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3"/>
    </row>
    <row r="7" spans="1:18" ht="50.1" customHeight="1">
      <c r="A7" s="27"/>
      <c r="B7" s="29"/>
      <c r="C7" s="29"/>
      <c r="D7" s="29"/>
      <c r="E7" s="37"/>
      <c r="F7" s="30" t="s">
        <v>193</v>
      </c>
      <c r="G7" s="32">
        <v>0</v>
      </c>
      <c r="H7" s="32">
        <v>0</v>
      </c>
      <c r="I7" s="32">
        <v>0</v>
      </c>
      <c r="J7" s="32">
        <v>0</v>
      </c>
      <c r="K7" s="32">
        <v>0</v>
      </c>
      <c r="L7" s="32">
        <v>0</v>
      </c>
      <c r="M7" s="32">
        <v>0</v>
      </c>
      <c r="N7" s="32">
        <v>0</v>
      </c>
      <c r="O7" s="32">
        <v>0</v>
      </c>
      <c r="P7" s="32">
        <v>0</v>
      </c>
      <c r="Q7" s="32">
        <v>0</v>
      </c>
      <c r="R7" s="33">
        <v>0</v>
      </c>
    </row>
    <row r="8" spans="1:18" ht="50.1" customHeight="1">
      <c r="A8" s="27"/>
      <c r="B8" s="29"/>
      <c r="C8" s="29"/>
      <c r="D8" s="29"/>
      <c r="E8" s="37"/>
      <c r="F8" s="30" t="s">
        <v>194</v>
      </c>
      <c r="G8" s="32">
        <v>0</v>
      </c>
      <c r="H8" s="32">
        <v>0</v>
      </c>
      <c r="I8" s="32">
        <v>0</v>
      </c>
      <c r="J8" s="32">
        <v>0</v>
      </c>
      <c r="K8" s="32">
        <v>0</v>
      </c>
      <c r="L8" s="32">
        <v>0</v>
      </c>
      <c r="M8" s="32">
        <v>0</v>
      </c>
      <c r="N8" s="32">
        <v>0</v>
      </c>
      <c r="O8" s="32">
        <v>0</v>
      </c>
      <c r="P8" s="32">
        <v>0</v>
      </c>
      <c r="Q8" s="32">
        <v>0</v>
      </c>
      <c r="R8" s="33">
        <v>0</v>
      </c>
    </row>
    <row r="9" spans="1:18" ht="50.1" customHeight="1">
      <c r="A9" s="27">
        <v>19</v>
      </c>
      <c r="B9" s="29" t="s">
        <v>71</v>
      </c>
      <c r="C9" s="29" t="s">
        <v>72</v>
      </c>
      <c r="D9" s="29" t="s">
        <v>198</v>
      </c>
      <c r="E9" s="37" t="s">
        <v>176</v>
      </c>
      <c r="F9" s="30" t="s">
        <v>192</v>
      </c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3"/>
    </row>
    <row r="10" spans="1:18" ht="50.1" customHeight="1">
      <c r="A10" s="27"/>
      <c r="B10" s="29"/>
      <c r="C10" s="29"/>
      <c r="D10" s="29"/>
      <c r="E10" s="37"/>
      <c r="F10" s="30" t="s">
        <v>193</v>
      </c>
      <c r="G10" s="32">
        <v>0</v>
      </c>
      <c r="H10" s="32">
        <v>0</v>
      </c>
      <c r="I10" s="32">
        <v>0</v>
      </c>
      <c r="J10" s="32">
        <v>0</v>
      </c>
      <c r="K10" s="32">
        <v>0</v>
      </c>
      <c r="L10" s="32">
        <v>0</v>
      </c>
      <c r="M10" s="32">
        <v>0</v>
      </c>
      <c r="N10" s="32">
        <v>0</v>
      </c>
      <c r="O10" s="32">
        <v>0</v>
      </c>
      <c r="P10" s="32">
        <v>0</v>
      </c>
      <c r="Q10" s="32">
        <v>0</v>
      </c>
      <c r="R10" s="33">
        <v>0</v>
      </c>
    </row>
    <row r="11" spans="1:18" ht="50.1" customHeight="1">
      <c r="A11" s="27"/>
      <c r="B11" s="29"/>
      <c r="C11" s="29"/>
      <c r="D11" s="29"/>
      <c r="E11" s="37"/>
      <c r="F11" s="30" t="s">
        <v>194</v>
      </c>
      <c r="G11" s="32">
        <v>0</v>
      </c>
      <c r="H11" s="32">
        <v>0</v>
      </c>
      <c r="I11" s="32">
        <v>0</v>
      </c>
      <c r="J11" s="32">
        <v>0</v>
      </c>
      <c r="K11" s="32">
        <v>0</v>
      </c>
      <c r="L11" s="32">
        <v>0</v>
      </c>
      <c r="M11" s="32">
        <v>0</v>
      </c>
      <c r="N11" s="32">
        <v>0</v>
      </c>
      <c r="O11" s="32">
        <v>0</v>
      </c>
      <c r="P11" s="32">
        <v>0</v>
      </c>
      <c r="Q11" s="32">
        <v>0</v>
      </c>
      <c r="R11" s="33">
        <v>0</v>
      </c>
    </row>
    <row r="12" spans="1:18" ht="50.1" customHeight="1">
      <c r="A12" s="27">
        <v>21</v>
      </c>
      <c r="B12" s="29" t="s">
        <v>77</v>
      </c>
      <c r="C12" s="29" t="s">
        <v>78</v>
      </c>
      <c r="D12" s="29" t="s">
        <v>198</v>
      </c>
      <c r="E12" s="37" t="s">
        <v>176</v>
      </c>
      <c r="F12" s="30" t="s">
        <v>192</v>
      </c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3"/>
    </row>
    <row r="13" spans="1:18" ht="50.1" customHeight="1">
      <c r="A13" s="27"/>
      <c r="B13" s="29"/>
      <c r="C13" s="29"/>
      <c r="D13" s="29"/>
      <c r="E13" s="37"/>
      <c r="F13" s="30" t="s">
        <v>193</v>
      </c>
      <c r="G13" s="32">
        <v>0</v>
      </c>
      <c r="H13" s="32">
        <v>0</v>
      </c>
      <c r="I13" s="32">
        <v>0</v>
      </c>
      <c r="J13" s="32">
        <v>0</v>
      </c>
      <c r="K13" s="32">
        <v>0</v>
      </c>
      <c r="L13" s="32">
        <v>0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3">
        <v>0</v>
      </c>
    </row>
    <row r="14" spans="1:18" ht="50.1" customHeight="1">
      <c r="A14" s="27"/>
      <c r="B14" s="29"/>
      <c r="C14" s="29"/>
      <c r="D14" s="29"/>
      <c r="E14" s="37"/>
      <c r="F14" s="30" t="s">
        <v>194</v>
      </c>
      <c r="G14" s="32">
        <v>0</v>
      </c>
      <c r="H14" s="32">
        <v>0</v>
      </c>
      <c r="I14" s="32">
        <v>0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3">
        <v>0</v>
      </c>
    </row>
    <row r="15" spans="1:18" ht="50.1" customHeight="1">
      <c r="A15" s="27">
        <v>23</v>
      </c>
      <c r="B15" s="29" t="s">
        <v>83</v>
      </c>
      <c r="C15" s="29" t="s">
        <v>84</v>
      </c>
      <c r="D15" s="29" t="s">
        <v>198</v>
      </c>
      <c r="E15" s="37" t="s">
        <v>176</v>
      </c>
      <c r="F15" s="30" t="s">
        <v>192</v>
      </c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3"/>
    </row>
    <row r="16" spans="1:18" ht="50.1" customHeight="1">
      <c r="A16" s="27"/>
      <c r="B16" s="29"/>
      <c r="C16" s="29"/>
      <c r="D16" s="29"/>
      <c r="E16" s="37"/>
      <c r="F16" s="30" t="s">
        <v>193</v>
      </c>
      <c r="G16" s="32">
        <v>0</v>
      </c>
      <c r="H16" s="32">
        <v>0</v>
      </c>
      <c r="I16" s="32">
        <v>0</v>
      </c>
      <c r="J16" s="32">
        <v>0</v>
      </c>
      <c r="K16" s="32">
        <v>0</v>
      </c>
      <c r="L16" s="32">
        <v>0</v>
      </c>
      <c r="M16" s="32">
        <v>0</v>
      </c>
      <c r="N16" s="32">
        <v>0</v>
      </c>
      <c r="O16" s="32">
        <v>0</v>
      </c>
      <c r="P16" s="32">
        <v>0</v>
      </c>
      <c r="Q16" s="32">
        <v>0</v>
      </c>
      <c r="R16" s="33">
        <v>0</v>
      </c>
    </row>
    <row r="17" spans="1:18" ht="50.1" customHeight="1">
      <c r="A17" s="27"/>
      <c r="B17" s="29"/>
      <c r="C17" s="29"/>
      <c r="D17" s="29"/>
      <c r="E17" s="37"/>
      <c r="F17" s="30" t="s">
        <v>194</v>
      </c>
      <c r="G17" s="32">
        <v>0</v>
      </c>
      <c r="H17" s="32">
        <v>0</v>
      </c>
      <c r="I17" s="32">
        <v>0</v>
      </c>
      <c r="J17" s="32">
        <v>0</v>
      </c>
      <c r="K17" s="32">
        <v>0</v>
      </c>
      <c r="L17" s="32">
        <v>0</v>
      </c>
      <c r="M17" s="32">
        <v>0</v>
      </c>
      <c r="N17" s="32">
        <v>0</v>
      </c>
      <c r="O17" s="32">
        <v>0</v>
      </c>
      <c r="P17" s="32">
        <v>0</v>
      </c>
      <c r="Q17" s="32">
        <v>0</v>
      </c>
      <c r="R17" s="33">
        <v>0</v>
      </c>
    </row>
    <row r="18" spans="1:18" ht="50.1" customHeight="1">
      <c r="A18" s="27">
        <v>29</v>
      </c>
      <c r="B18" s="29" t="s">
        <v>101</v>
      </c>
      <c r="C18" s="29" t="s">
        <v>102</v>
      </c>
      <c r="D18" s="29" t="s">
        <v>198</v>
      </c>
      <c r="E18" s="37" t="s">
        <v>176</v>
      </c>
      <c r="F18" s="30" t="s">
        <v>192</v>
      </c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3"/>
    </row>
    <row r="19" spans="1:18" ht="50.1" customHeight="1">
      <c r="A19" s="27"/>
      <c r="B19" s="29"/>
      <c r="C19" s="29"/>
      <c r="D19" s="29"/>
      <c r="E19" s="37"/>
      <c r="F19" s="30" t="s">
        <v>193</v>
      </c>
      <c r="G19" s="32">
        <v>0</v>
      </c>
      <c r="H19" s="32">
        <v>0</v>
      </c>
      <c r="I19" s="32">
        <v>0</v>
      </c>
      <c r="J19" s="32">
        <v>0</v>
      </c>
      <c r="K19" s="32">
        <v>0</v>
      </c>
      <c r="L19" s="32">
        <v>0</v>
      </c>
      <c r="M19" s="32">
        <v>0</v>
      </c>
      <c r="N19" s="32">
        <v>0</v>
      </c>
      <c r="O19" s="32">
        <v>0</v>
      </c>
      <c r="P19" s="32">
        <v>0</v>
      </c>
      <c r="Q19" s="32">
        <v>0</v>
      </c>
      <c r="R19" s="33">
        <v>0</v>
      </c>
    </row>
    <row r="20" spans="1:18" ht="50.1" customHeight="1">
      <c r="A20" s="27"/>
      <c r="B20" s="29"/>
      <c r="C20" s="29"/>
      <c r="D20" s="29"/>
      <c r="E20" s="37"/>
      <c r="F20" s="30" t="s">
        <v>194</v>
      </c>
      <c r="G20" s="32">
        <v>0</v>
      </c>
      <c r="H20" s="32">
        <v>0</v>
      </c>
      <c r="I20" s="32">
        <v>0</v>
      </c>
      <c r="J20" s="32">
        <v>0</v>
      </c>
      <c r="K20" s="32">
        <v>0</v>
      </c>
      <c r="L20" s="32">
        <v>0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3">
        <v>0</v>
      </c>
    </row>
    <row r="21" spans="1:18" ht="50.1" customHeight="1">
      <c r="A21" s="27">
        <v>30</v>
      </c>
      <c r="B21" s="29" t="s">
        <v>104</v>
      </c>
      <c r="C21" s="25" t="s">
        <v>102</v>
      </c>
      <c r="D21" s="29" t="s">
        <v>198</v>
      </c>
      <c r="E21" s="37" t="s">
        <v>176</v>
      </c>
      <c r="F21" s="30" t="s">
        <v>192</v>
      </c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3"/>
    </row>
    <row r="22" spans="1:18" ht="50.1" customHeight="1">
      <c r="A22" s="27"/>
      <c r="B22" s="29"/>
      <c r="C22" s="25"/>
      <c r="D22" s="29"/>
      <c r="E22" s="37"/>
      <c r="F22" s="30" t="s">
        <v>193</v>
      </c>
      <c r="G22" s="32">
        <v>0</v>
      </c>
      <c r="H22" s="32">
        <v>0</v>
      </c>
      <c r="I22" s="32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3">
        <v>0</v>
      </c>
    </row>
    <row r="23" spans="1:18" ht="50.1" customHeight="1">
      <c r="A23" s="27"/>
      <c r="B23" s="29"/>
      <c r="C23" s="25"/>
      <c r="D23" s="29"/>
      <c r="E23" s="37"/>
      <c r="F23" s="30" t="s">
        <v>194</v>
      </c>
      <c r="G23" s="32">
        <v>0</v>
      </c>
      <c r="H23" s="32">
        <v>0</v>
      </c>
      <c r="I23" s="32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3">
        <v>0</v>
      </c>
    </row>
    <row r="24" spans="1:18" ht="50.1" customHeight="1">
      <c r="A24" s="27">
        <v>34</v>
      </c>
      <c r="B24" s="29" t="s">
        <v>116</v>
      </c>
      <c r="C24" s="25" t="s">
        <v>114</v>
      </c>
      <c r="D24" s="29" t="s">
        <v>198</v>
      </c>
      <c r="E24" s="37" t="s">
        <v>176</v>
      </c>
      <c r="F24" s="30" t="s">
        <v>192</v>
      </c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3"/>
    </row>
    <row r="25" spans="1:18" ht="50.1" customHeight="1">
      <c r="A25" s="27"/>
      <c r="B25" s="29"/>
      <c r="C25" s="25"/>
      <c r="D25" s="29"/>
      <c r="E25" s="37"/>
      <c r="F25" s="30" t="s">
        <v>193</v>
      </c>
      <c r="G25" s="32">
        <v>0</v>
      </c>
      <c r="H25" s="32">
        <v>0</v>
      </c>
      <c r="I25" s="32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3">
        <v>0</v>
      </c>
    </row>
    <row r="26" spans="1:18" ht="50.1" customHeight="1">
      <c r="A26" s="27"/>
      <c r="B26" s="29"/>
      <c r="C26" s="25"/>
      <c r="D26" s="29"/>
      <c r="E26" s="37"/>
      <c r="F26" s="30" t="s">
        <v>194</v>
      </c>
      <c r="G26" s="32">
        <v>0</v>
      </c>
      <c r="H26" s="32">
        <v>0</v>
      </c>
      <c r="I26" s="32">
        <v>0</v>
      </c>
      <c r="J26" s="32">
        <v>0</v>
      </c>
      <c r="K26" s="32">
        <v>0</v>
      </c>
      <c r="L26" s="32">
        <v>0</v>
      </c>
      <c r="M26" s="32">
        <v>0</v>
      </c>
      <c r="N26" s="32">
        <v>0</v>
      </c>
      <c r="O26" s="32">
        <v>0</v>
      </c>
      <c r="P26" s="32">
        <v>0</v>
      </c>
      <c r="Q26" s="32">
        <v>0</v>
      </c>
      <c r="R26" s="33">
        <v>0</v>
      </c>
    </row>
    <row r="27" spans="1:18" ht="50.1" customHeight="1">
      <c r="A27" s="27">
        <v>35</v>
      </c>
      <c r="B27" s="29" t="s">
        <v>118</v>
      </c>
      <c r="C27" s="25" t="s">
        <v>114</v>
      </c>
      <c r="D27" s="29" t="s">
        <v>198</v>
      </c>
      <c r="E27" s="37" t="s">
        <v>176</v>
      </c>
      <c r="F27" s="30" t="s">
        <v>192</v>
      </c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3"/>
    </row>
    <row r="28" spans="1:18" ht="50.1" customHeight="1">
      <c r="A28" s="27"/>
      <c r="B28" s="29"/>
      <c r="C28" s="25"/>
      <c r="D28" s="29"/>
      <c r="E28" s="37"/>
      <c r="F28" s="30" t="s">
        <v>193</v>
      </c>
      <c r="G28" s="32">
        <v>0</v>
      </c>
      <c r="H28" s="32">
        <v>0</v>
      </c>
      <c r="I28" s="32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3">
        <v>0</v>
      </c>
    </row>
    <row r="29" spans="1:18" ht="50.1" customHeight="1">
      <c r="A29" s="27"/>
      <c r="B29" s="29"/>
      <c r="C29" s="25"/>
      <c r="D29" s="29"/>
      <c r="E29" s="37"/>
      <c r="F29" s="30" t="s">
        <v>194</v>
      </c>
      <c r="G29" s="32">
        <v>0</v>
      </c>
      <c r="H29" s="32">
        <v>0</v>
      </c>
      <c r="I29" s="32">
        <v>0</v>
      </c>
      <c r="J29" s="32">
        <v>0</v>
      </c>
      <c r="K29" s="32">
        <v>0</v>
      </c>
      <c r="L29" s="32">
        <v>0</v>
      </c>
      <c r="M29" s="32">
        <v>0</v>
      </c>
      <c r="N29" s="32">
        <v>0</v>
      </c>
      <c r="O29" s="32">
        <v>0</v>
      </c>
      <c r="P29" s="32">
        <v>0</v>
      </c>
      <c r="Q29" s="32">
        <v>0</v>
      </c>
      <c r="R29" s="33">
        <v>0</v>
      </c>
    </row>
    <row r="30" spans="1:18" ht="50.1" customHeight="1">
      <c r="A30" s="27">
        <v>39</v>
      </c>
      <c r="B30" s="29" t="s">
        <v>131</v>
      </c>
      <c r="C30" s="29" t="s">
        <v>132</v>
      </c>
      <c r="D30" s="29" t="s">
        <v>198</v>
      </c>
      <c r="E30" s="37" t="s">
        <v>176</v>
      </c>
      <c r="F30" s="30" t="s">
        <v>192</v>
      </c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3"/>
    </row>
    <row r="31" spans="1:18" ht="50.1" customHeight="1">
      <c r="A31" s="27"/>
      <c r="B31" s="29"/>
      <c r="C31" s="29"/>
      <c r="D31" s="29"/>
      <c r="E31" s="37"/>
      <c r="F31" s="30" t="s">
        <v>193</v>
      </c>
      <c r="G31" s="32">
        <v>0</v>
      </c>
      <c r="H31" s="32">
        <v>0</v>
      </c>
      <c r="I31" s="32">
        <v>0</v>
      </c>
      <c r="J31" s="32">
        <v>0</v>
      </c>
      <c r="K31" s="32">
        <v>0</v>
      </c>
      <c r="L31" s="32">
        <v>0</v>
      </c>
      <c r="M31" s="32">
        <v>0</v>
      </c>
      <c r="N31" s="32">
        <v>0</v>
      </c>
      <c r="O31" s="32">
        <v>0</v>
      </c>
      <c r="P31" s="32">
        <v>0</v>
      </c>
      <c r="Q31" s="32">
        <v>0</v>
      </c>
      <c r="R31" s="33">
        <v>0</v>
      </c>
    </row>
    <row r="32" spans="1:18" ht="50.1" customHeight="1">
      <c r="A32" s="27"/>
      <c r="B32" s="29"/>
      <c r="C32" s="29"/>
      <c r="D32" s="29"/>
      <c r="E32" s="37"/>
      <c r="F32" s="30" t="s">
        <v>194</v>
      </c>
      <c r="G32" s="32">
        <v>0</v>
      </c>
      <c r="H32" s="32">
        <v>0</v>
      </c>
      <c r="I32" s="32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3">
        <v>0</v>
      </c>
    </row>
    <row r="33" spans="1:18" ht="50.1" customHeight="1">
      <c r="A33" s="27">
        <v>42</v>
      </c>
      <c r="B33" s="29" t="s">
        <v>141</v>
      </c>
      <c r="C33" s="25" t="s">
        <v>139</v>
      </c>
      <c r="D33" s="29" t="s">
        <v>198</v>
      </c>
      <c r="E33" s="37" t="s">
        <v>176</v>
      </c>
      <c r="F33" s="30" t="s">
        <v>192</v>
      </c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3"/>
    </row>
    <row r="34" spans="1:18" ht="50.1" customHeight="1">
      <c r="A34" s="27"/>
      <c r="B34" s="29"/>
      <c r="C34" s="25"/>
      <c r="D34" s="29"/>
      <c r="E34" s="37"/>
      <c r="F34" s="30" t="s">
        <v>193</v>
      </c>
      <c r="G34" s="32">
        <v>0</v>
      </c>
      <c r="H34" s="32">
        <v>0</v>
      </c>
      <c r="I34" s="32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3">
        <v>0</v>
      </c>
    </row>
    <row r="35" spans="1:18" ht="50.1" customHeight="1">
      <c r="A35" s="27"/>
      <c r="B35" s="29"/>
      <c r="C35" s="25"/>
      <c r="D35" s="29"/>
      <c r="E35" s="37"/>
      <c r="F35" s="30" t="s">
        <v>194</v>
      </c>
      <c r="G35" s="32">
        <v>0</v>
      </c>
      <c r="H35" s="32">
        <v>0</v>
      </c>
      <c r="I35" s="32">
        <v>0</v>
      </c>
      <c r="J35" s="32">
        <v>0</v>
      </c>
      <c r="K35" s="32">
        <v>0</v>
      </c>
      <c r="L35" s="32">
        <v>0</v>
      </c>
      <c r="M35" s="32">
        <v>0</v>
      </c>
      <c r="N35" s="32">
        <v>0</v>
      </c>
      <c r="O35" s="32">
        <v>0</v>
      </c>
      <c r="P35" s="32">
        <v>0</v>
      </c>
      <c r="Q35" s="32">
        <v>0</v>
      </c>
      <c r="R35" s="33">
        <v>0</v>
      </c>
    </row>
    <row r="36" spans="1:18" ht="50.1" customHeight="1">
      <c r="A36" s="27">
        <v>43</v>
      </c>
      <c r="B36" s="29" t="s">
        <v>143</v>
      </c>
      <c r="C36" s="25" t="s">
        <v>139</v>
      </c>
      <c r="D36" s="29" t="s">
        <v>198</v>
      </c>
      <c r="E36" s="37" t="s">
        <v>176</v>
      </c>
      <c r="F36" s="30" t="s">
        <v>192</v>
      </c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3"/>
    </row>
    <row r="37" spans="1:18" ht="50.1" customHeight="1">
      <c r="A37" s="27"/>
      <c r="B37" s="29"/>
      <c r="C37" s="25"/>
      <c r="D37" s="29"/>
      <c r="E37" s="37"/>
      <c r="F37" s="30" t="s">
        <v>193</v>
      </c>
      <c r="G37" s="32">
        <v>0</v>
      </c>
      <c r="H37" s="32">
        <v>0</v>
      </c>
      <c r="I37" s="32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3">
        <v>0</v>
      </c>
    </row>
    <row r="38" spans="1:18" ht="50.1" customHeight="1">
      <c r="A38" s="27"/>
      <c r="B38" s="29"/>
      <c r="C38" s="25"/>
      <c r="D38" s="29"/>
      <c r="E38" s="37"/>
      <c r="F38" s="30" t="s">
        <v>194</v>
      </c>
      <c r="G38" s="32">
        <v>0</v>
      </c>
      <c r="H38" s="32">
        <v>0</v>
      </c>
      <c r="I38" s="32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3">
        <v>0</v>
      </c>
    </row>
    <row r="39" spans="1:18" ht="50.1" customHeight="1">
      <c r="A39" s="27">
        <v>44</v>
      </c>
      <c r="B39" s="29" t="s">
        <v>145</v>
      </c>
      <c r="C39" s="29" t="s">
        <v>146</v>
      </c>
      <c r="D39" s="29" t="s">
        <v>198</v>
      </c>
      <c r="E39" s="37" t="s">
        <v>176</v>
      </c>
      <c r="F39" s="30" t="s">
        <v>192</v>
      </c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3"/>
    </row>
    <row r="40" spans="1:18" ht="50.1" customHeight="1">
      <c r="A40" s="27"/>
      <c r="B40" s="29"/>
      <c r="C40" s="29"/>
      <c r="D40" s="29"/>
      <c r="E40" s="37"/>
      <c r="F40" s="30" t="s">
        <v>193</v>
      </c>
      <c r="G40" s="32">
        <v>0</v>
      </c>
      <c r="H40" s="32">
        <v>0</v>
      </c>
      <c r="I40" s="32">
        <v>0</v>
      </c>
      <c r="J40" s="32">
        <v>0</v>
      </c>
      <c r="K40" s="32">
        <v>0</v>
      </c>
      <c r="L40" s="32">
        <v>0</v>
      </c>
      <c r="M40" s="32">
        <v>0</v>
      </c>
      <c r="N40" s="32">
        <v>0</v>
      </c>
      <c r="O40" s="32">
        <v>0</v>
      </c>
      <c r="P40" s="32">
        <v>0</v>
      </c>
      <c r="Q40" s="32">
        <v>0</v>
      </c>
      <c r="R40" s="33">
        <v>0</v>
      </c>
    </row>
    <row r="41" spans="1:18" ht="50.1" customHeight="1">
      <c r="A41" s="28"/>
      <c r="B41" s="9"/>
      <c r="C41" s="9"/>
      <c r="D41" s="9"/>
      <c r="E41" s="38"/>
      <c r="F41" s="31" t="s">
        <v>194</v>
      </c>
      <c r="G41" s="34">
        <v>0</v>
      </c>
      <c r="H41" s="34">
        <v>0</v>
      </c>
      <c r="I41" s="34">
        <v>0</v>
      </c>
      <c r="J41" s="34">
        <v>0</v>
      </c>
      <c r="K41" s="34">
        <v>0</v>
      </c>
      <c r="L41" s="34">
        <v>0</v>
      </c>
      <c r="M41" s="34">
        <v>0</v>
      </c>
      <c r="N41" s="34">
        <v>0</v>
      </c>
      <c r="O41" s="34">
        <v>0</v>
      </c>
      <c r="P41" s="34">
        <v>0</v>
      </c>
      <c r="Q41" s="34">
        <v>0</v>
      </c>
      <c r="R41" s="35">
        <v>0</v>
      </c>
    </row>
    <row r="42" spans="1:18" ht="50.1" customHeight="1"/>
    <row r="43" spans="1:18" ht="50.1" customHeight="1"/>
    <row r="44" spans="1:18" ht="50.1" customHeight="1"/>
    <row r="45" spans="1:18" ht="50.1" customHeight="1"/>
    <row r="46" spans="1:18" ht="50.1" customHeight="1"/>
    <row r="47" spans="1:18" ht="50.1" customHeight="1"/>
    <row r="48" spans="1:18" ht="50.1" customHeight="1"/>
    <row r="49" ht="50.1" customHeight="1"/>
    <row r="50" ht="50.1" customHeight="1"/>
    <row r="51" ht="50.1" customHeight="1"/>
    <row r="52" ht="50.1" customHeight="1"/>
    <row r="53" ht="50.1" customHeight="1"/>
    <row r="54" ht="50.1" customHeight="1"/>
    <row r="55" ht="50.1" customHeight="1"/>
    <row r="56" ht="50.1" customHeight="1"/>
    <row r="57" ht="50.1" customHeight="1"/>
    <row r="58" ht="50.1" customHeight="1"/>
    <row r="59" ht="50.1" customHeight="1"/>
    <row r="60" ht="50.1" customHeight="1"/>
    <row r="61" ht="50.1" customHeight="1"/>
    <row r="62" ht="50.1" customHeight="1"/>
    <row r="63" ht="50.1" customHeight="1"/>
    <row r="64" ht="50.1" customHeight="1"/>
    <row r="65" ht="50.1" customHeight="1"/>
    <row r="66" ht="50.1" customHeight="1"/>
    <row r="67" ht="50.1" customHeight="1"/>
    <row r="68" ht="50.1" customHeight="1"/>
    <row r="69" ht="50.1" customHeight="1"/>
    <row r="70" ht="50.1" customHeight="1"/>
    <row r="71" ht="50.1" customHeight="1"/>
    <row r="72" ht="50.1" customHeight="1"/>
    <row r="73" ht="50.1" customHeight="1"/>
    <row r="74" ht="50.1" customHeight="1"/>
    <row r="75" ht="50.1" customHeight="1"/>
    <row r="76" ht="50.1" customHeight="1"/>
    <row r="77" ht="50.1" customHeight="1"/>
    <row r="78" ht="50.1" customHeight="1"/>
    <row r="79" ht="50.1" customHeight="1"/>
    <row r="80" ht="50.1" customHeight="1"/>
    <row r="81" ht="50.1" customHeight="1"/>
    <row r="82" ht="50.1" customHeight="1"/>
    <row r="83" ht="50.1" customHeight="1"/>
    <row r="84" ht="50.1" customHeight="1"/>
    <row r="85" ht="50.1" customHeight="1"/>
    <row r="86" ht="50.1" customHeight="1"/>
    <row r="87" ht="50.1" customHeight="1"/>
    <row r="88" ht="50.1" customHeight="1"/>
    <row r="89" ht="50.1" customHeight="1"/>
    <row r="90" ht="50.1" customHeight="1"/>
    <row r="91" ht="50.1" customHeight="1"/>
    <row r="92" ht="50.1" customHeight="1"/>
    <row r="93" ht="50.1" customHeight="1"/>
    <row r="94" ht="50.1" customHeight="1"/>
    <row r="95" ht="50.1" customHeight="1"/>
    <row r="96" ht="50.1" customHeight="1"/>
    <row r="97" ht="50.1" customHeight="1"/>
    <row r="98" ht="50.1" customHeight="1"/>
    <row r="99" ht="50.1" customHeight="1"/>
    <row r="100" ht="50.1" customHeight="1"/>
    <row r="101" ht="50.1" customHeight="1"/>
    <row r="102" ht="50.1" customHeight="1"/>
    <row r="103" ht="50.1" customHeight="1"/>
    <row r="104" ht="50.1" customHeight="1"/>
    <row r="105" ht="50.1" customHeight="1"/>
    <row r="106" ht="50.1" customHeight="1"/>
    <row r="107" ht="50.1" customHeight="1"/>
    <row r="108" ht="50.1" customHeight="1"/>
    <row r="109" ht="50.1" customHeight="1"/>
    <row r="110" ht="50.1" customHeight="1"/>
    <row r="111" ht="50.1" customHeight="1"/>
    <row r="112" ht="50.1" customHeight="1"/>
    <row r="113" ht="50.1" customHeight="1"/>
    <row r="114" ht="50.1" customHeight="1"/>
    <row r="115" ht="50.1" customHeight="1"/>
    <row r="116" ht="50.1" customHeight="1"/>
    <row r="117" ht="50.1" customHeight="1"/>
    <row r="118" ht="50.1" customHeight="1"/>
    <row r="119" ht="50.1" customHeight="1"/>
    <row r="120" ht="50.1" customHeight="1"/>
    <row r="121" ht="50.1" customHeight="1"/>
    <row r="122" ht="50.1" customHeight="1"/>
    <row r="123" ht="50.1" customHeight="1"/>
    <row r="124" ht="50.1" customHeight="1"/>
    <row r="125" ht="50.1" customHeight="1"/>
    <row r="126" ht="50.1" customHeight="1"/>
    <row r="127" ht="50.1" customHeight="1"/>
    <row r="128" ht="50.1" customHeight="1"/>
    <row r="129" ht="50.1" customHeight="1"/>
    <row r="130" ht="50.1" customHeight="1"/>
    <row r="131" ht="50.1" customHeight="1"/>
    <row r="132" ht="50.1" customHeight="1"/>
    <row r="133" ht="50.1" customHeight="1"/>
    <row r="134" ht="50.1" customHeight="1"/>
    <row r="135" ht="50.1" customHeight="1"/>
    <row r="136" ht="50.1" customHeight="1"/>
    <row r="137" ht="50.1" customHeight="1"/>
    <row r="138" ht="50.1" customHeight="1"/>
    <row r="139" ht="50.1" customHeight="1"/>
    <row r="140" ht="50.1" customHeight="1"/>
    <row r="141" ht="50.1" customHeight="1"/>
    <row r="142" ht="50.1" customHeight="1"/>
    <row r="143" ht="50.1" customHeight="1"/>
    <row r="144" ht="50.1" customHeight="1"/>
    <row r="145" ht="50.1" customHeight="1"/>
    <row r="146" ht="50.1" customHeight="1"/>
    <row r="147" ht="50.1" customHeight="1"/>
    <row r="148" ht="50.1" customHeight="1"/>
    <row r="149" ht="50.1" customHeight="1"/>
    <row r="150" ht="50.1" customHeight="1"/>
    <row r="151" ht="50.1" customHeight="1"/>
    <row r="152" ht="50.1" customHeight="1"/>
    <row r="153" ht="50.1" customHeight="1"/>
    <row r="154" ht="50.1" customHeight="1"/>
    <row r="155" ht="50.1" customHeight="1"/>
    <row r="156" ht="50.1" customHeight="1"/>
    <row r="157" ht="50.1" customHeight="1"/>
    <row r="158" ht="50.1" customHeight="1"/>
    <row r="159" ht="50.1" customHeight="1"/>
    <row r="160" ht="50.1" customHeight="1"/>
    <row r="161" spans="1:16" ht="50.1" customHeight="1"/>
    <row r="162" spans="1:16" ht="15" customHeight="1"/>
    <row r="163" spans="1:16" ht="15" customHeight="1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</row>
    <row r="164" spans="1:16" ht="15" customHeight="1">
      <c r="N164" s="25"/>
      <c r="O164" s="25"/>
      <c r="P164" s="25"/>
    </row>
    <row r="165" spans="1:16" ht="15" customHeight="1">
      <c r="N165" s="25"/>
      <c r="O165" s="25"/>
      <c r="P165" s="25"/>
    </row>
    <row r="166" spans="1:16" ht="15" customHeight="1">
      <c r="N166" s="25"/>
      <c r="O166" s="25"/>
      <c r="P166" s="25"/>
    </row>
    <row r="167" spans="1:16" ht="15" customHeight="1">
      <c r="N167" s="25"/>
      <c r="O167" s="25"/>
      <c r="P167" s="25"/>
    </row>
    <row r="168" spans="1:16" ht="15" customHeight="1">
      <c r="N168" s="25"/>
      <c r="O168" s="25"/>
      <c r="P168" s="25"/>
    </row>
    <row r="169" spans="1:16" ht="15" customHeight="1"/>
    <row r="170" spans="1:16" ht="15" customHeight="1"/>
    <row r="171" spans="1:16" ht="15" customHeight="1"/>
    <row r="172" spans="1:16" ht="15" customHeight="1"/>
  </sheetData>
  <conditionalFormatting sqref="A42:R161 A3:F41">
    <cfRule type="expression" dxfId="43" priority="4">
      <formula>MOD(ROW()-3,3)=2</formula>
    </cfRule>
  </conditionalFormatting>
  <conditionalFormatting sqref="E3:E163">
    <cfRule type="cellIs" dxfId="42" priority="5" operator="equal">
      <formula>"L"</formula>
    </cfRule>
    <cfRule type="cellIs" dxfId="41" priority="6" operator="equal">
      <formula>"J"</formula>
    </cfRule>
  </conditionalFormatting>
  <conditionalFormatting sqref="E175">
    <cfRule type="expression" dxfId="40" priority="1">
      <formula>MOD(ROW()-3,3)=2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Report</vt:lpstr>
      <vt:lpstr>Visão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Caio Fernandes de Amorim</dc:creator>
  <cp:lastModifiedBy>Caio Fernandes de Amorim</cp:lastModifiedBy>
  <dcterms:created xsi:type="dcterms:W3CDTF">2026-05-06T18:03:18Z</dcterms:created>
  <dcterms:modified xsi:type="dcterms:W3CDTF">2026-05-14T21:05:01Z</dcterms:modified>
</cp:coreProperties>
</file>